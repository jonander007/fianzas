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nsual" sheetId="1" state="visible" r:id="rId1"/>
    <sheet name="Deudas" sheetId="2" state="visible" r:id="rId2"/>
    <sheet name="Calendario" sheetId="3" state="visible" r:id="rId3"/>
    <sheet name="Supuestos" sheetId="4" state="visible" r:id="rId4"/>
  </sheets>
  <definedNames>
    <definedName name="_xlnm._FilterDatabase" localSheetId="2" hidden="1">'Calendario'!$A$1:$G$72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-#,##0.00 €;-"/>
    <numFmt numFmtId="167" formatCode="mmm 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</font>
    <font>
      <name val="Arial"/>
    </font>
    <font>
      <name val="Arial"/>
      <color rgb="000000FF"/>
    </font>
    <font>
      <name val="Arial"/>
      <color rgb="006B7280"/>
      <sz val="9"/>
    </font>
    <font>
      <name val="Arial"/>
      <b val="1"/>
      <color rgb="00FFFFFF"/>
    </font>
    <font>
      <name val="Arial"/>
      <color rgb="00008000"/>
    </font>
    <font>
      <name val="Arial"/>
      <b val="1"/>
    </font>
    <font>
      <name val="Arial"/>
      <b val="1"/>
      <color rgb="0000800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DE2E2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top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3" borderId="0" applyAlignment="1" pivotButton="0" quotePrefix="0" xfId="0">
      <alignment horizontal="center" wrapText="1"/>
    </xf>
    <xf numFmtId="167" fontId="8" fillId="0" borderId="0" pivotButton="0" quotePrefix="0" xfId="0"/>
    <xf numFmtId="166" fontId="3" fillId="0" borderId="0" pivotButton="0" quotePrefix="0" xfId="0"/>
    <xf numFmtId="166" fontId="8" fillId="0" borderId="0" pivotButton="0" quotePrefix="0" xfId="0"/>
    <xf numFmtId="0" fontId="8" fillId="0" borderId="0" pivotButton="0" quotePrefix="0" xfId="0"/>
    <xf numFmtId="166" fontId="8" fillId="0" borderId="2" pivotButton="0" quotePrefix="0" xfId="0"/>
    <xf numFmtId="165" fontId="8" fillId="0" borderId="0" pivotButton="0" quotePrefix="0" xfId="0"/>
    <xf numFmtId="0" fontId="3" fillId="6" borderId="0" pivotButton="0" quotePrefix="0" xfId="0"/>
    <xf numFmtId="0" fontId="3" fillId="0" borderId="0" pivotButton="0" quotePrefix="0" xfId="0"/>
    <xf numFmtId="166" fontId="4" fillId="0" borderId="0" pivotButton="0" quotePrefix="0" xfId="0"/>
    <xf numFmtId="166" fontId="7" fillId="0" borderId="0" pivotButton="0" quotePrefix="0" xfId="0"/>
    <xf numFmtId="165" fontId="7" fillId="0" borderId="0" pivotButton="0" quotePrefix="0" xfId="0"/>
    <xf numFmtId="0" fontId="5" fillId="0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8" fillId="0" borderId="2" pivotButton="0" quotePrefix="0" xfId="0"/>
    <xf numFmtId="0" fontId="0" fillId="0" borderId="2" pivotButton="0" quotePrefix="0" xfId="0"/>
    <xf numFmtId="165" fontId="8" fillId="0" borderId="2" pivotButton="0" quotePrefix="0" xfId="0"/>
    <xf numFmtId="0" fontId="9" fillId="0" borderId="2" pivotButton="0" quotePrefix="0" xfId="0"/>
    <xf numFmtId="0" fontId="6" fillId="3" borderId="0" applyAlignment="1" pivotButton="0" quotePrefix="0" xfId="0">
      <alignment horizontal="center"/>
    </xf>
    <xf numFmtId="165" fontId="7" fillId="0" borderId="1" pivotButton="0" quotePrefix="0" xfId="0"/>
    <xf numFmtId="167" fontId="8" fillId="0" borderId="1" pivotButton="0" quotePrefix="0" xfId="0"/>
    <xf numFmtId="0" fontId="8" fillId="0" borderId="1" pivotButton="0" quotePrefix="0" xfId="0"/>
    <xf numFmtId="166" fontId="9" fillId="0" borderId="1" pivotButton="0" quotePrefix="0" xfId="0"/>
    <xf numFmtId="165" fontId="3" fillId="0" borderId="1" pivotButton="0" quotePrefix="0" xfId="0"/>
    <xf numFmtId="167" fontId="3" fillId="0" borderId="1" pivotButton="0" quotePrefix="0" xfId="0"/>
    <xf numFmtId="0" fontId="3" fillId="0" borderId="1" pivotButton="0" quotePrefix="0" xfId="0"/>
    <xf numFmtId="0" fontId="3" fillId="4" borderId="1" pivotButton="0" quotePrefix="0" xfId="0"/>
    <xf numFmtId="166" fontId="7" fillId="0" borderId="1" pivotButton="0" quotePrefix="0" xfId="0"/>
    <xf numFmtId="166" fontId="3" fillId="0" borderId="1" pivotButton="0" quotePrefix="0" xfId="0"/>
    <xf numFmtId="0" fontId="3" fillId="5" borderId="1" pivotButton="0" quotePrefix="0" xfId="0"/>
    <xf numFmtId="166" fontId="4" fillId="0" borderId="1" pivotButton="0" quotePrefix="0" xfId="0"/>
    <xf numFmtId="0" fontId="3" fillId="6" borderId="1" pivotButton="0" quotePrefix="0" xfId="0"/>
    <xf numFmtId="0" fontId="3" fillId="5" borderId="0" pivotButton="0" quotePrefix="0" xfId="0"/>
    <xf numFmtId="0" fontId="3" fillId="4" borderId="0" pivotButton="0" quotePrefix="0" xfId="0"/>
    <xf numFmtId="0" fontId="3" fillId="7" borderId="1" pivotButton="0" quotePrefix="0" xfId="0"/>
    <xf numFmtId="0" fontId="3" fillId="8" borderId="1" pivotButton="0" quotePrefix="0" xfId="0"/>
    <xf numFmtId="0" fontId="1" fillId="0" borderId="0" pivotButton="0" quotePrefix="0" xfId="0"/>
    <xf numFmtId="0" fontId="2" fillId="0" borderId="0" pivotButton="0" quotePrefix="0" xfId="0"/>
    <xf numFmtId="165" fontId="4" fillId="2" borderId="0" pivotButton="0" quotePrefix="0" xfId="0"/>
    <xf numFmtId="166" fontId="4" fillId="2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</font>
    </dxf>
    <dxf>
      <font>
        <name val="Arial"/>
        <b val="1"/>
        <color rgb="00C00000"/>
      </font>
      <fill>
        <patternFill patternType="solid">
          <f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Plan</author>
  </authors>
  <commentList>
    <comment ref="I3" authorId="0" shapeId="0">
      <text>
        <t>2.148 € (4 × 537) − 1.500 € de liquidación, según lo que te ofrece Vivus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2" customHeight="1">
      <c r="A1" s="1" t="inlineStr">
        <is>
          <t>Mes</t>
        </is>
      </c>
      <c r="B1" s="1" t="inlineStr">
        <is>
          <t>Ingresos (€)</t>
        </is>
      </c>
      <c r="C1" s="1" t="inlineStr">
        <is>
          <t>Gastos de vida (€)</t>
        </is>
      </c>
      <c r="D1" s="1" t="inlineStr">
        <is>
          <t>Pagos fijos (€)</t>
        </is>
      </c>
      <c r="E1" s="1" t="inlineStr">
        <is>
          <t>Pagos aplazables (€)</t>
        </is>
      </c>
      <c r="F1" s="1" t="inlineStr">
        <is>
          <t>Pagos amigos (€)</t>
        </is>
      </c>
      <c r="G1" s="1" t="inlineStr">
        <is>
          <t>Total pagos deuda (€)</t>
        </is>
      </c>
      <c r="H1" s="1" t="inlineStr">
        <is>
          <t>Ahorro del mes (€)</t>
        </is>
      </c>
      <c r="I1" s="1" t="inlineStr">
        <is>
          <t>Saldo a fin de mes (€)</t>
        </is>
      </c>
    </row>
    <row r="2">
      <c r="A2" s="2" t="n">
        <v>46296</v>
      </c>
      <c r="B2" s="3">
        <f>SUMIFS(Calendario!$F$3:$F$72,Calendario!$D$3:$D$72,"Ingreso",Calendario!$B$3:$B$72,A2)</f>
        <v/>
      </c>
      <c r="C2" s="3">
        <f>-SUMIFS(Calendario!$F$3:$F$72,Calendario!$D$3:$D$72,"Gasto",Calendario!$B$3:$B$72,A2)</f>
        <v/>
      </c>
      <c r="D2" s="3">
        <f>-SUMIFS(Calendario!$F$3:$F$72,Calendario!$D$3:$D$72,"Fijo",Calendario!$B$3:$B$72,A2)</f>
        <v/>
      </c>
      <c r="E2" s="3">
        <f>-SUMIFS(Calendario!$F$3:$F$72,Calendario!$D$3:$D$72,"Aplazable",Calendario!$B$3:$B$72,A2)</f>
        <v/>
      </c>
      <c r="F2" s="3">
        <f>-SUMIFS(Calendario!$F$3:$F$72,Calendario!$D$3:$D$72,"Amigo",Calendario!$B$3:$B$72,A2)</f>
        <v/>
      </c>
      <c r="G2" s="3">
        <f>D2+E2+F2</f>
        <v/>
      </c>
      <c r="H2" s="3">
        <f>B2-C2-G2</f>
        <v/>
      </c>
      <c r="I2" s="4">
        <f>Supuestos!$B$5+SUM($H$2:H2)</f>
        <v/>
      </c>
    </row>
    <row r="3">
      <c r="A3" s="2" t="n">
        <v>46327</v>
      </c>
      <c r="B3" s="3">
        <f>SUMIFS(Calendario!$F$3:$F$72,Calendario!$D$3:$D$72,"Ingreso",Calendario!$B$3:$B$72,A3)</f>
        <v/>
      </c>
      <c r="C3" s="3">
        <f>-SUMIFS(Calendario!$F$3:$F$72,Calendario!$D$3:$D$72,"Gasto",Calendario!$B$3:$B$72,A3)</f>
        <v/>
      </c>
      <c r="D3" s="3">
        <f>-SUMIFS(Calendario!$F$3:$F$72,Calendario!$D$3:$D$72,"Fijo",Calendario!$B$3:$B$72,A3)</f>
        <v/>
      </c>
      <c r="E3" s="3">
        <f>-SUMIFS(Calendario!$F$3:$F$72,Calendario!$D$3:$D$72,"Aplazable",Calendario!$B$3:$B$72,A3)</f>
        <v/>
      </c>
      <c r="F3" s="3">
        <f>-SUMIFS(Calendario!$F$3:$F$72,Calendario!$D$3:$D$72,"Amigo",Calendario!$B$3:$B$72,A3)</f>
        <v/>
      </c>
      <c r="G3" s="3">
        <f>D3+E3+F3</f>
        <v/>
      </c>
      <c r="H3" s="3">
        <f>B3-C3-G3</f>
        <v/>
      </c>
      <c r="I3" s="4">
        <f>Supuestos!$B$5+SUM($H$2:H3)</f>
        <v/>
      </c>
    </row>
    <row r="4">
      <c r="A4" s="2" t="n">
        <v>46357</v>
      </c>
      <c r="B4" s="3">
        <f>SUMIFS(Calendario!$F$3:$F$72,Calendario!$D$3:$D$72,"Ingreso",Calendario!$B$3:$B$72,A4)</f>
        <v/>
      </c>
      <c r="C4" s="3">
        <f>-SUMIFS(Calendario!$F$3:$F$72,Calendario!$D$3:$D$72,"Gasto",Calendario!$B$3:$B$72,A4)</f>
        <v/>
      </c>
      <c r="D4" s="3">
        <f>-SUMIFS(Calendario!$F$3:$F$72,Calendario!$D$3:$D$72,"Fijo",Calendario!$B$3:$B$72,A4)</f>
        <v/>
      </c>
      <c r="E4" s="3">
        <f>-SUMIFS(Calendario!$F$3:$F$72,Calendario!$D$3:$D$72,"Aplazable",Calendario!$B$3:$B$72,A4)</f>
        <v/>
      </c>
      <c r="F4" s="3">
        <f>-SUMIFS(Calendario!$F$3:$F$72,Calendario!$D$3:$D$72,"Amigo",Calendario!$B$3:$B$72,A4)</f>
        <v/>
      </c>
      <c r="G4" s="3">
        <f>D4+E4+F4</f>
        <v/>
      </c>
      <c r="H4" s="3">
        <f>B4-C4-G4</f>
        <v/>
      </c>
      <c r="I4" s="4">
        <f>Supuestos!$B$5+SUM($H$2:H4)</f>
        <v/>
      </c>
    </row>
    <row r="5">
      <c r="A5" s="2" t="n">
        <v>46388</v>
      </c>
      <c r="B5" s="3">
        <f>SUMIFS(Calendario!$F$3:$F$72,Calendario!$D$3:$D$72,"Ingreso",Calendario!$B$3:$B$72,A5)</f>
        <v/>
      </c>
      <c r="C5" s="3">
        <f>-SUMIFS(Calendario!$F$3:$F$72,Calendario!$D$3:$D$72,"Gasto",Calendario!$B$3:$B$72,A5)</f>
        <v/>
      </c>
      <c r="D5" s="3">
        <f>-SUMIFS(Calendario!$F$3:$F$72,Calendario!$D$3:$D$72,"Fijo",Calendario!$B$3:$B$72,A5)</f>
        <v/>
      </c>
      <c r="E5" s="3">
        <f>-SUMIFS(Calendario!$F$3:$F$72,Calendario!$D$3:$D$72,"Aplazable",Calendario!$B$3:$B$72,A5)</f>
        <v/>
      </c>
      <c r="F5" s="3">
        <f>-SUMIFS(Calendario!$F$3:$F$72,Calendario!$D$3:$D$72,"Amigo",Calendario!$B$3:$B$72,A5)</f>
        <v/>
      </c>
      <c r="G5" s="3">
        <f>D5+E5+F5</f>
        <v/>
      </c>
      <c r="H5" s="3">
        <f>B5-C5-G5</f>
        <v/>
      </c>
      <c r="I5" s="4">
        <f>Supuestos!$B$5+SUM($H$2:H5)</f>
        <v/>
      </c>
    </row>
    <row r="6">
      <c r="A6" s="2" t="n">
        <v>46419</v>
      </c>
      <c r="B6" s="3">
        <f>SUMIFS(Calendario!$F$3:$F$72,Calendario!$D$3:$D$72,"Ingreso",Calendario!$B$3:$B$72,A6)</f>
        <v/>
      </c>
      <c r="C6" s="3">
        <f>-SUMIFS(Calendario!$F$3:$F$72,Calendario!$D$3:$D$72,"Gasto",Calendario!$B$3:$B$72,A6)</f>
        <v/>
      </c>
      <c r="D6" s="3">
        <f>-SUMIFS(Calendario!$F$3:$F$72,Calendario!$D$3:$D$72,"Fijo",Calendario!$B$3:$B$72,A6)</f>
        <v/>
      </c>
      <c r="E6" s="3">
        <f>-SUMIFS(Calendario!$F$3:$F$72,Calendario!$D$3:$D$72,"Aplazable",Calendario!$B$3:$B$72,A6)</f>
        <v/>
      </c>
      <c r="F6" s="3">
        <f>-SUMIFS(Calendario!$F$3:$F$72,Calendario!$D$3:$D$72,"Amigo",Calendario!$B$3:$B$72,A6)</f>
        <v/>
      </c>
      <c r="G6" s="3">
        <f>D6+E6+F6</f>
        <v/>
      </c>
      <c r="H6" s="3">
        <f>B6-C6-G6</f>
        <v/>
      </c>
      <c r="I6" s="4">
        <f>Supuestos!$B$5+SUM($H$2:H6)</f>
        <v/>
      </c>
    </row>
    <row r="7">
      <c r="A7" s="2" t="n">
        <v>46447</v>
      </c>
      <c r="B7" s="3">
        <f>SUMIFS(Calendario!$F$3:$F$72,Calendario!$D$3:$D$72,"Ingreso",Calendario!$B$3:$B$72,A7)</f>
        <v/>
      </c>
      <c r="C7" s="3">
        <f>-SUMIFS(Calendario!$F$3:$F$72,Calendario!$D$3:$D$72,"Gasto",Calendario!$B$3:$B$72,A7)</f>
        <v/>
      </c>
      <c r="D7" s="3">
        <f>-SUMIFS(Calendario!$F$3:$F$72,Calendario!$D$3:$D$72,"Fijo",Calendario!$B$3:$B$72,A7)</f>
        <v/>
      </c>
      <c r="E7" s="3">
        <f>-SUMIFS(Calendario!$F$3:$F$72,Calendario!$D$3:$D$72,"Aplazable",Calendario!$B$3:$B$72,A7)</f>
        <v/>
      </c>
      <c r="F7" s="3">
        <f>-SUMIFS(Calendario!$F$3:$F$72,Calendario!$D$3:$D$72,"Amigo",Calendario!$B$3:$B$72,A7)</f>
        <v/>
      </c>
      <c r="G7" s="3">
        <f>D7+E7+F7</f>
        <v/>
      </c>
      <c r="H7" s="3">
        <f>B7-C7-G7</f>
        <v/>
      </c>
      <c r="I7" s="4">
        <f>Supuestos!$B$5+SUM($H$2:H7)</f>
        <v/>
      </c>
    </row>
    <row r="8">
      <c r="A8" s="2" t="n">
        <v>46478</v>
      </c>
      <c r="B8" s="3">
        <f>SUMIFS(Calendario!$F$3:$F$72,Calendario!$D$3:$D$72,"Ingreso",Calendario!$B$3:$B$72,A8)</f>
        <v/>
      </c>
      <c r="C8" s="3">
        <f>-SUMIFS(Calendario!$F$3:$F$72,Calendario!$D$3:$D$72,"Gasto",Calendario!$B$3:$B$72,A8)</f>
        <v/>
      </c>
      <c r="D8" s="3">
        <f>-SUMIFS(Calendario!$F$3:$F$72,Calendario!$D$3:$D$72,"Fijo",Calendario!$B$3:$B$72,A8)</f>
        <v/>
      </c>
      <c r="E8" s="3">
        <f>-SUMIFS(Calendario!$F$3:$F$72,Calendario!$D$3:$D$72,"Aplazable",Calendario!$B$3:$B$72,A8)</f>
        <v/>
      </c>
      <c r="F8" s="3">
        <f>-SUMIFS(Calendario!$F$3:$F$72,Calendario!$D$3:$D$72,"Amigo",Calendario!$B$3:$B$72,A8)</f>
        <v/>
      </c>
      <c r="G8" s="3">
        <f>D8+E8+F8</f>
        <v/>
      </c>
      <c r="H8" s="3">
        <f>B8-C8-G8</f>
        <v/>
      </c>
      <c r="I8" s="4">
        <f>Supuestos!$B$5+SUM($H$2:H8)</f>
        <v/>
      </c>
    </row>
    <row r="9">
      <c r="A9" s="2" t="n">
        <v>46508</v>
      </c>
      <c r="B9" s="3">
        <f>SUMIFS(Calendario!$F$3:$F$72,Calendario!$D$3:$D$72,"Ingreso",Calendario!$B$3:$B$72,A9)</f>
        <v/>
      </c>
      <c r="C9" s="3">
        <f>-SUMIFS(Calendario!$F$3:$F$72,Calendario!$D$3:$D$72,"Gasto",Calendario!$B$3:$B$72,A9)</f>
        <v/>
      </c>
      <c r="D9" s="3">
        <f>-SUMIFS(Calendario!$F$3:$F$72,Calendario!$D$3:$D$72,"Fijo",Calendario!$B$3:$B$72,A9)</f>
        <v/>
      </c>
      <c r="E9" s="3">
        <f>-SUMIFS(Calendario!$F$3:$F$72,Calendario!$D$3:$D$72,"Aplazable",Calendario!$B$3:$B$72,A9)</f>
        <v/>
      </c>
      <c r="F9" s="3">
        <f>-SUMIFS(Calendario!$F$3:$F$72,Calendario!$D$3:$D$72,"Amigo",Calendario!$B$3:$B$72,A9)</f>
        <v/>
      </c>
      <c r="G9" s="3">
        <f>D9+E9+F9</f>
        <v/>
      </c>
      <c r="H9" s="3">
        <f>B9-C9-G9</f>
        <v/>
      </c>
      <c r="I9" s="4">
        <f>Supuestos!$B$5+SUM($H$2:H9)</f>
        <v/>
      </c>
    </row>
    <row r="10">
      <c r="A10" s="2" t="n">
        <v>46539</v>
      </c>
      <c r="B10" s="3">
        <f>SUMIFS(Calendario!$F$3:$F$72,Calendario!$D$3:$D$72,"Ingreso",Calendario!$B$3:$B$72,A10)</f>
        <v/>
      </c>
      <c r="C10" s="3">
        <f>-SUMIFS(Calendario!$F$3:$F$72,Calendario!$D$3:$D$72,"Gasto",Calendario!$B$3:$B$72,A10)</f>
        <v/>
      </c>
      <c r="D10" s="3">
        <f>-SUMIFS(Calendario!$F$3:$F$72,Calendario!$D$3:$D$72,"Fijo",Calendario!$B$3:$B$72,A10)</f>
        <v/>
      </c>
      <c r="E10" s="3">
        <f>-SUMIFS(Calendario!$F$3:$F$72,Calendario!$D$3:$D$72,"Aplazable",Calendario!$B$3:$B$72,A10)</f>
        <v/>
      </c>
      <c r="F10" s="3">
        <f>-SUMIFS(Calendario!$F$3:$F$72,Calendario!$D$3:$D$72,"Amigo",Calendario!$B$3:$B$72,A10)</f>
        <v/>
      </c>
      <c r="G10" s="3">
        <f>D10+E10+F10</f>
        <v/>
      </c>
      <c r="H10" s="3">
        <f>B10-C10-G10</f>
        <v/>
      </c>
      <c r="I10" s="4">
        <f>Supuestos!$B$5+SUM($H$2:H10)</f>
        <v/>
      </c>
    </row>
    <row r="11">
      <c r="A11" s="2" t="n">
        <v>46569</v>
      </c>
      <c r="B11" s="3">
        <f>SUMIFS(Calendario!$F$3:$F$72,Calendario!$D$3:$D$72,"Ingreso",Calendario!$B$3:$B$72,A11)</f>
        <v/>
      </c>
      <c r="C11" s="3">
        <f>-SUMIFS(Calendario!$F$3:$F$72,Calendario!$D$3:$D$72,"Gasto",Calendario!$B$3:$B$72,A11)</f>
        <v/>
      </c>
      <c r="D11" s="3">
        <f>-SUMIFS(Calendario!$F$3:$F$72,Calendario!$D$3:$D$72,"Fijo",Calendario!$B$3:$B$72,A11)</f>
        <v/>
      </c>
      <c r="E11" s="3">
        <f>-SUMIFS(Calendario!$F$3:$F$72,Calendario!$D$3:$D$72,"Aplazable",Calendario!$B$3:$B$72,A11)</f>
        <v/>
      </c>
      <c r="F11" s="3">
        <f>-SUMIFS(Calendario!$F$3:$F$72,Calendario!$D$3:$D$72,"Amigo",Calendario!$B$3:$B$72,A11)</f>
        <v/>
      </c>
      <c r="G11" s="3">
        <f>D11+E11+F11</f>
        <v/>
      </c>
      <c r="H11" s="3">
        <f>B11-C11-G11</f>
        <v/>
      </c>
      <c r="I11" s="4">
        <f>Supuestos!$B$5+SUM($H$2:H11)</f>
        <v/>
      </c>
    </row>
    <row r="12">
      <c r="A12" s="2" t="n">
        <v>46600</v>
      </c>
      <c r="B12" s="3">
        <f>SUMIFS(Calendario!$F$3:$F$72,Calendario!$D$3:$D$72,"Ingreso",Calendario!$B$3:$B$72,A12)</f>
        <v/>
      </c>
      <c r="C12" s="3">
        <f>-SUMIFS(Calendario!$F$3:$F$72,Calendario!$D$3:$D$72,"Gasto",Calendario!$B$3:$B$72,A12)</f>
        <v/>
      </c>
      <c r="D12" s="3">
        <f>-SUMIFS(Calendario!$F$3:$F$72,Calendario!$D$3:$D$72,"Fijo",Calendario!$B$3:$B$72,A12)</f>
        <v/>
      </c>
      <c r="E12" s="3">
        <f>-SUMIFS(Calendario!$F$3:$F$72,Calendario!$D$3:$D$72,"Aplazable",Calendario!$B$3:$B$72,A12)</f>
        <v/>
      </c>
      <c r="F12" s="3">
        <f>-SUMIFS(Calendario!$F$3:$F$72,Calendario!$D$3:$D$72,"Amigo",Calendario!$B$3:$B$72,A12)</f>
        <v/>
      </c>
      <c r="G12" s="3">
        <f>D12+E12+F12</f>
        <v/>
      </c>
      <c r="H12" s="3">
        <f>B12-C12-G12</f>
        <v/>
      </c>
      <c r="I12" s="4">
        <f>Supuestos!$B$5+SUM($H$2:H12)</f>
        <v/>
      </c>
    </row>
    <row r="13">
      <c r="A13" s="2" t="n">
        <v>46631</v>
      </c>
      <c r="B13" s="3">
        <f>SUMIFS(Calendario!$F$3:$F$72,Calendario!$D$3:$D$72,"Ingreso",Calendario!$B$3:$B$72,A13)</f>
        <v/>
      </c>
      <c r="C13" s="3">
        <f>-SUMIFS(Calendario!$F$3:$F$72,Calendario!$D$3:$D$72,"Gasto",Calendario!$B$3:$B$72,A13)</f>
        <v/>
      </c>
      <c r="D13" s="3">
        <f>-SUMIFS(Calendario!$F$3:$F$72,Calendario!$D$3:$D$72,"Fijo",Calendario!$B$3:$B$72,A13)</f>
        <v/>
      </c>
      <c r="E13" s="3">
        <f>-SUMIFS(Calendario!$F$3:$F$72,Calendario!$D$3:$D$72,"Aplazable",Calendario!$B$3:$B$72,A13)</f>
        <v/>
      </c>
      <c r="F13" s="3">
        <f>-SUMIFS(Calendario!$F$3:$F$72,Calendario!$D$3:$D$72,"Amigo",Calendario!$B$3:$B$72,A13)</f>
        <v/>
      </c>
      <c r="G13" s="3">
        <f>D13+E13+F13</f>
        <v/>
      </c>
      <c r="H13" s="3">
        <f>B13-C13-G13</f>
        <v/>
      </c>
      <c r="I13" s="4">
        <f>Supuestos!$B$5+SUM($H$2:H13)</f>
        <v/>
      </c>
    </row>
    <row r="14">
      <c r="A14" s="2" t="n">
        <v>46661</v>
      </c>
      <c r="B14" s="3">
        <f>SUMIFS(Calendario!$F$3:$F$72,Calendario!$D$3:$D$72,"Ingreso",Calendario!$B$3:$B$72,A14)</f>
        <v/>
      </c>
      <c r="C14" s="3">
        <f>-SUMIFS(Calendario!$F$3:$F$72,Calendario!$D$3:$D$72,"Gasto",Calendario!$B$3:$B$72,A14)</f>
        <v/>
      </c>
      <c r="D14" s="3">
        <f>-SUMIFS(Calendario!$F$3:$F$72,Calendario!$D$3:$D$72,"Fijo",Calendario!$B$3:$B$72,A14)</f>
        <v/>
      </c>
      <c r="E14" s="3">
        <f>-SUMIFS(Calendario!$F$3:$F$72,Calendario!$D$3:$D$72,"Aplazable",Calendario!$B$3:$B$72,A14)</f>
        <v/>
      </c>
      <c r="F14" s="3">
        <f>-SUMIFS(Calendario!$F$3:$F$72,Calendario!$D$3:$D$72,"Amigo",Calendario!$B$3:$B$72,A14)</f>
        <v/>
      </c>
      <c r="G14" s="3">
        <f>D14+E14+F14</f>
        <v/>
      </c>
      <c r="H14" s="3">
        <f>B14-C14-G14</f>
        <v/>
      </c>
      <c r="I14" s="4">
        <f>Supuestos!$B$5+SUM($H$2:H14)</f>
        <v/>
      </c>
    </row>
    <row r="15">
      <c r="A15" s="5" t="inlineStr">
        <is>
          <t>TOTAL</t>
        </is>
      </c>
      <c r="B15" s="6">
        <f>SUM(B2:B14)</f>
        <v/>
      </c>
      <c r="C15" s="6">
        <f>SUM(C2:C14)</f>
        <v/>
      </c>
      <c r="D15" s="6">
        <f>SUM(D2:D14)</f>
        <v/>
      </c>
      <c r="E15" s="6">
        <f>SUM(E2:E14)</f>
        <v/>
      </c>
      <c r="F15" s="6">
        <f>SUM(F2:F14)</f>
        <v/>
      </c>
      <c r="G15" s="6">
        <f>SUM(G2:G14)</f>
        <v/>
      </c>
      <c r="H15" s="6">
        <f>SUM(H2:H14)</f>
        <v/>
      </c>
    </row>
    <row r="17">
      <c r="A17" s="5" t="inlineStr">
        <is>
          <t>Saldo más bajo del plan</t>
        </is>
      </c>
      <c r="C17" s="4">
        <f>MIN(Calendario!G2:G72)</f>
        <v/>
      </c>
    </row>
    <row r="18">
      <c r="A18" s="5" t="inlineStr">
        <is>
          <t>Fecha del saldo más bajo</t>
        </is>
      </c>
      <c r="C18" s="7">
        <f>INDEX(Calendario!A2:A72,MATCH(C17,Calendario!G2:G72,0))</f>
        <v/>
      </c>
    </row>
  </sheetData>
  <conditionalFormatting sqref="H2:I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6" customWidth="1" min="4" max="4"/>
    <col width="16" customWidth="1" min="5" max="5"/>
    <col width="14" customWidth="1" min="6" max="6"/>
    <col width="13" customWidth="1" min="7" max="7"/>
    <col width="58" customWidth="1" min="8" max="8"/>
    <col width="14" customWidth="1" min="9" max="9"/>
  </cols>
  <sheetData>
    <row r="1" ht="30" customHeight="1">
      <c r="A1" s="1" t="inlineStr">
        <is>
          <t>Deuda</t>
        </is>
      </c>
      <c r="B1" s="1" t="inlineStr">
        <is>
          <t>Bloque</t>
        </is>
      </c>
      <c r="C1" s="1" t="inlineStr">
        <is>
          <t>Entidad / persona</t>
        </is>
      </c>
      <c r="D1" s="1" t="inlineStr">
        <is>
          <t>Importe a devolver (€)</t>
        </is>
      </c>
      <c r="E1" s="1" t="inlineStr">
        <is>
          <t>Pagado en el plan (€)</t>
        </is>
      </c>
      <c r="F1" s="1" t="inlineStr">
        <is>
          <t>Queda (€)</t>
        </is>
      </c>
      <c r="G1" s="1" t="inlineStr">
        <is>
          <t>Último pago</t>
        </is>
      </c>
      <c r="H1" s="1" t="inlineStr">
        <is>
          <t>Condiciones</t>
        </is>
      </c>
      <c r="I1" s="1" t="inlineStr">
        <is>
          <t>Ahorro por liquidar (€)</t>
        </is>
      </c>
    </row>
    <row r="2">
      <c r="A2" s="5" t="inlineStr">
        <is>
          <t>Moneyman</t>
        </is>
      </c>
      <c r="B2" s="8" t="inlineStr">
        <is>
          <t>Fijo</t>
        </is>
      </c>
      <c r="C2" s="9" t="inlineStr">
        <is>
          <t>Moneyman</t>
        </is>
      </c>
      <c r="D2" s="10" t="n">
        <v>1400</v>
      </c>
      <c r="E2" s="11">
        <f>-SUMIFS(Calendario!$F$3:$F$72,Calendario!$E$3:$E$72,A2)</f>
        <v/>
      </c>
      <c r="F2" s="3">
        <f>D2-E2-I2</f>
        <v/>
      </c>
      <c r="G2" s="12">
        <f>_xlfn.MAXIFS(Calendario!$A$3:$A$72,Calendario!$E$3:$E$72,A2)</f>
        <v/>
      </c>
      <c r="H2" s="13" t="inlineStr">
        <is>
          <t>Pago único el 1 nov, sin volver a pedirlo. Te dieron 1.100 €</t>
        </is>
      </c>
      <c r="I2" s="10" t="n">
        <v>0</v>
      </c>
    </row>
    <row r="3">
      <c r="A3" s="5" t="inlineStr">
        <is>
          <t>Vivus</t>
        </is>
      </c>
      <c r="B3" s="8" t="inlineStr">
        <is>
          <t>Fijo</t>
        </is>
      </c>
      <c r="C3" s="9" t="inlineStr">
        <is>
          <t>Vivus</t>
        </is>
      </c>
      <c r="D3" s="10" t="n">
        <v>2148</v>
      </c>
      <c r="E3" s="11">
        <f>-SUMIFS(Calendario!$F$3:$F$72,Calendario!$E$3:$E$72,A3)</f>
        <v/>
      </c>
      <c r="F3" s="3">
        <f>D3-E3-I3</f>
        <v/>
      </c>
      <c r="G3" s="12">
        <f>_xlfn.MAXIFS(Calendario!$A$3:$A$72,Calendario!$E$3:$E$72,A3)</f>
        <v/>
      </c>
      <c r="H3" s="13" t="inlineStr">
        <is>
          <t>4 × 537 €, no aplazable. Plan: cuota del 1 nov y liquidar el resto el 29 nov (total 1.500 €)</t>
        </is>
      </c>
      <c r="I3" s="10" t="n">
        <v>648</v>
      </c>
    </row>
    <row r="4">
      <c r="A4" s="5" t="inlineStr">
        <is>
          <t>Smartcredito</t>
        </is>
      </c>
      <c r="B4" s="8" t="inlineStr">
        <is>
          <t>Fijo</t>
        </is>
      </c>
      <c r="C4" s="9" t="inlineStr">
        <is>
          <t>Smartcredito</t>
        </is>
      </c>
      <c r="D4" s="10" t="n">
        <v>435</v>
      </c>
      <c r="E4" s="11">
        <f>-SUMIFS(Calendario!$F$3:$F$72,Calendario!$E$3:$E$72,A4)</f>
        <v/>
      </c>
      <c r="F4" s="3">
        <f>D4-E4-I4</f>
        <v/>
      </c>
      <c r="G4" s="12">
        <f>_xlfn.MAXIFS(Calendario!$A$3:$A$72,Calendario!$E$3:$E$72,A4)</f>
        <v/>
      </c>
      <c r="H4" s="13" t="inlineStr">
        <is>
          <t>Pago único el 14 nov. Volver a pedirlo cuesta: recibes 300 €, devuelves 435 €</t>
        </is>
      </c>
      <c r="I4" s="10" t="n">
        <v>0</v>
      </c>
    </row>
    <row r="5">
      <c r="A5" s="5" t="inlineStr">
        <is>
          <t>Santander (préstamo)</t>
        </is>
      </c>
      <c r="B5" s="8" t="inlineStr">
        <is>
          <t>Fijo</t>
        </is>
      </c>
      <c r="C5" s="9" t="inlineStr">
        <is>
          <t>Santander</t>
        </is>
      </c>
      <c r="D5" s="10" t="n">
        <v>1994.93</v>
      </c>
      <c r="E5" s="11">
        <f>-SUMIFS(Calendario!$F$3:$F$72,Calendario!$E$3:$E$72,A5)</f>
        <v/>
      </c>
      <c r="F5" s="3">
        <f>D5-E5-I5</f>
        <v/>
      </c>
      <c r="G5" s="12">
        <f>_xlfn.MAXIFS(Calendario!$A$3:$A$72,Calendario!$E$3:$E$72,A5)</f>
        <v/>
      </c>
      <c r="H5" s="13" t="inlineStr">
        <is>
          <t>96 €/mes; desde mar 2027 dentro de los 500 €/mes</t>
        </is>
      </c>
      <c r="I5" s="10" t="n">
        <v>0</v>
      </c>
    </row>
    <row r="6">
      <c r="A6" s="5" t="inlineStr">
        <is>
          <t>Pagolisto 1</t>
        </is>
      </c>
      <c r="B6" s="14" t="inlineStr">
        <is>
          <t>Aplazable</t>
        </is>
      </c>
      <c r="C6" s="9" t="inlineStr">
        <is>
          <t>Pagolisto *6284</t>
        </is>
      </c>
      <c r="D6" s="10" t="n">
        <v>693.34</v>
      </c>
      <c r="E6" s="11">
        <f>-SUMIFS(Calendario!$F$3:$F$72,Calendario!$E$3:$E$72,A6)</f>
        <v/>
      </c>
      <c r="F6" s="3">
        <f>D6-E6-I6</f>
        <v/>
      </c>
      <c r="G6" s="12">
        <f>_xlfn.MAXIFS(Calendario!$A$3:$A$72,Calendario!$E$3:$E$72,A6)</f>
        <v/>
      </c>
      <c r="H6" s="13" t="inlineStr">
        <is>
          <t>Aplazable: en nov pagas la cuota y la vuelves a pedir sin intereses; 3 cuotas dic–feb</t>
        </is>
      </c>
      <c r="I6" s="10" t="n">
        <v>0</v>
      </c>
    </row>
    <row r="7">
      <c r="A7" s="5" t="inlineStr">
        <is>
          <t>Pagolisto 2</t>
        </is>
      </c>
      <c r="B7" s="14" t="inlineStr">
        <is>
          <t>Aplazable</t>
        </is>
      </c>
      <c r="C7" s="9" t="inlineStr">
        <is>
          <t>Pagolisto *6727</t>
        </is>
      </c>
      <c r="D7" s="10" t="n">
        <v>923.61</v>
      </c>
      <c r="E7" s="11">
        <f>-SUMIFS(Calendario!$F$3:$F$72,Calendario!$E$3:$E$72,A7)</f>
        <v/>
      </c>
      <c r="F7" s="3">
        <f>D7-E7-I7</f>
        <v/>
      </c>
      <c r="G7" s="12">
        <f>_xlfn.MAXIFS(Calendario!$A$3:$A$72,Calendario!$E$3:$E$72,A7)</f>
        <v/>
      </c>
      <c r="H7" s="13" t="inlineStr">
        <is>
          <t>Aplazable: en nov pagas la cuota y la vuelves a pedir sin intereses; 3 cuotas dic–feb</t>
        </is>
      </c>
      <c r="I7" s="10" t="n">
        <v>0</v>
      </c>
    </row>
    <row r="8">
      <c r="A8" s="5" t="inlineStr">
        <is>
          <t>Crédito Santander 1</t>
        </is>
      </c>
      <c r="B8" s="14" t="inlineStr">
        <is>
          <t>Aplazable</t>
        </is>
      </c>
      <c r="C8" s="9" t="inlineStr">
        <is>
          <t>Santander *0773</t>
        </is>
      </c>
      <c r="D8" s="10" t="n">
        <v>1483.63</v>
      </c>
      <c r="E8" s="11">
        <f>-SUMIFS(Calendario!$F$3:$F$72,Calendario!$E$3:$E$72,A8)</f>
        <v/>
      </c>
      <c r="F8" s="3">
        <f>D8-E8-I8</f>
        <v/>
      </c>
      <c r="G8" s="12">
        <f>_xlfn.MAXIFS(Calendario!$A$3:$A$72,Calendario!$E$3:$E$72,A8)</f>
        <v/>
      </c>
      <c r="H8" s="13" t="inlineStr">
        <is>
          <t>Aplazable: en nov pagas la cuota y la vuelves a pedir sin intereses; 3 cuotas dic–feb</t>
        </is>
      </c>
      <c r="I8" s="10" t="n">
        <v>0</v>
      </c>
    </row>
    <row r="9">
      <c r="A9" s="5" t="inlineStr">
        <is>
          <t>Crédito Santander 2</t>
        </is>
      </c>
      <c r="B9" s="14" t="inlineStr">
        <is>
          <t>Aplazable</t>
        </is>
      </c>
      <c r="C9" s="9" t="inlineStr">
        <is>
          <t>Santander *4475</t>
        </is>
      </c>
      <c r="D9" s="10" t="n">
        <v>2326.76</v>
      </c>
      <c r="E9" s="11">
        <f>-SUMIFS(Calendario!$F$3:$F$72,Calendario!$E$3:$E$72,A9)</f>
        <v/>
      </c>
      <c r="F9" s="3">
        <f>D9-E9-I9</f>
        <v/>
      </c>
      <c r="G9" s="12">
        <f>_xlfn.MAXIFS(Calendario!$A$3:$A$72,Calendario!$E$3:$E$72,A9)</f>
        <v/>
      </c>
      <c r="H9" s="13" t="inlineStr">
        <is>
          <t>122,46 €/mes; desde mar 2027 dentro de los 500 €/mes</t>
        </is>
      </c>
      <c r="I9" s="10" t="n">
        <v>0</v>
      </c>
    </row>
    <row r="10">
      <c r="A10" s="5" t="inlineStr">
        <is>
          <t>Ama</t>
        </is>
      </c>
      <c r="B10" s="15" t="inlineStr">
        <is>
          <t>Amigo</t>
        </is>
      </c>
      <c r="C10" s="9" t="inlineStr">
        <is>
          <t>Ama</t>
        </is>
      </c>
      <c r="D10" s="10" t="n">
        <v>600</v>
      </c>
      <c r="E10" s="11">
        <f>-SUMIFS(Calendario!$F$3:$F$72,Calendario!$E$3:$E$72,A10)</f>
        <v/>
      </c>
      <c r="F10" s="3">
        <f>D10-E10-I10</f>
        <v/>
      </c>
      <c r="G10" s="12">
        <f>_xlfn.MAXIFS(Calendario!$A$3:$A$72,Calendario!$E$3:$E$72,A10)</f>
        <v/>
      </c>
      <c r="H10" s="13" t="inlineStr">
        <is>
          <t>Prioridad: 29 nov, con la nómina</t>
        </is>
      </c>
      <c r="I10" s="10" t="n">
        <v>0</v>
      </c>
    </row>
    <row r="11">
      <c r="A11" s="5" t="inlineStr">
        <is>
          <t>Joserra</t>
        </is>
      </c>
      <c r="B11" s="15" t="inlineStr">
        <is>
          <t>Amigo</t>
        </is>
      </c>
      <c r="C11" s="9" t="inlineStr">
        <is>
          <t>Joserra</t>
        </is>
      </c>
      <c r="D11" s="10" t="n">
        <v>400</v>
      </c>
      <c r="E11" s="11">
        <f>-SUMIFS(Calendario!$F$3:$F$72,Calendario!$E$3:$E$72,A11)</f>
        <v/>
      </c>
      <c r="F11" s="3">
        <f>D11-E11-I11</f>
        <v/>
      </c>
      <c r="G11" s="12">
        <f>_xlfn.MAXIFS(Calendario!$A$3:$A$72,Calendario!$E$3:$E$72,A11)</f>
        <v/>
      </c>
      <c r="H11" s="13" t="inlineStr">
        <is>
          <t>Sin plazo ni interés. Se devuelve antes de fin de año</t>
        </is>
      </c>
      <c r="I11" s="10" t="n">
        <v>0</v>
      </c>
    </row>
    <row r="12">
      <c r="A12" s="5" t="inlineStr">
        <is>
          <t>Xabi</t>
        </is>
      </c>
      <c r="B12" s="15" t="inlineStr">
        <is>
          <t>Amigo</t>
        </is>
      </c>
      <c r="C12" s="9" t="inlineStr">
        <is>
          <t>Xabi</t>
        </is>
      </c>
      <c r="D12" s="10" t="n">
        <v>300</v>
      </c>
      <c r="E12" s="11">
        <f>-SUMIFS(Calendario!$F$3:$F$72,Calendario!$E$3:$E$72,A12)</f>
        <v/>
      </c>
      <c r="F12" s="3">
        <f>D12-E12-I12</f>
        <v/>
      </c>
      <c r="G12" s="12">
        <f>_xlfn.MAXIFS(Calendario!$A$3:$A$72,Calendario!$E$3:$E$72,A12)</f>
        <v/>
      </c>
      <c r="H12" s="13" t="inlineStr">
        <is>
          <t>Sin plazo ni interés</t>
        </is>
      </c>
      <c r="I12" s="10" t="n">
        <v>0</v>
      </c>
    </row>
    <row r="13">
      <c r="A13" s="5" t="inlineStr">
        <is>
          <t>Sergio</t>
        </is>
      </c>
      <c r="B13" s="15" t="inlineStr">
        <is>
          <t>Amigo</t>
        </is>
      </c>
      <c r="C13" s="9" t="inlineStr">
        <is>
          <t>Sergio</t>
        </is>
      </c>
      <c r="D13" s="10" t="n">
        <v>1700</v>
      </c>
      <c r="E13" s="11">
        <f>-SUMIFS(Calendario!$F$3:$F$72,Calendario!$E$3:$E$72,A13)</f>
        <v/>
      </c>
      <c r="F13" s="3">
        <f>D13-E13-I13</f>
        <v/>
      </c>
      <c r="G13" s="12">
        <f>_xlfn.MAXIFS(Calendario!$A$3:$A$72,Calendario!$E$3:$E$72,A13)</f>
        <v/>
      </c>
      <c r="H13" s="13" t="inlineStr">
        <is>
          <t>Sin plazo ni interés</t>
        </is>
      </c>
      <c r="I13" s="10" t="n">
        <v>0</v>
      </c>
    </row>
    <row r="14">
      <c r="A14" s="5" t="inlineStr">
        <is>
          <t>Txomin</t>
        </is>
      </c>
      <c r="B14" s="15" t="inlineStr">
        <is>
          <t>Amigo</t>
        </is>
      </c>
      <c r="C14" s="9" t="inlineStr">
        <is>
          <t>Txomin</t>
        </is>
      </c>
      <c r="D14" s="10" t="n">
        <v>2500</v>
      </c>
      <c r="E14" s="11">
        <f>-SUMIFS(Calendario!$F$3:$F$72,Calendario!$E$3:$E$72,A14)</f>
        <v/>
      </c>
      <c r="F14" s="3">
        <f>D14-E14-I14</f>
        <v/>
      </c>
      <c r="G14" s="12">
        <f>_xlfn.MAXIFS(Calendario!$A$3:$A$72,Calendario!$E$3:$E$72,A14)</f>
        <v/>
      </c>
      <c r="H14" s="13" t="inlineStr">
        <is>
          <t>Sin plazo ni interés</t>
        </is>
      </c>
      <c r="I14" s="10" t="n">
        <v>0</v>
      </c>
    </row>
    <row r="15">
      <c r="A15" s="16" t="inlineStr">
        <is>
          <t>TOTAL</t>
        </is>
      </c>
      <c r="B15" s="17" t="n"/>
      <c r="C15" s="17" t="n"/>
      <c r="D15" s="6">
        <f>SUM(D2:D14)</f>
        <v/>
      </c>
      <c r="E15" s="6">
        <f>SUM(E2:E14)</f>
        <v/>
      </c>
      <c r="F15" s="6">
        <f>SUM(F2:F14)</f>
        <v/>
      </c>
      <c r="G15" s="18">
        <f>MAX(G2:G14)</f>
        <v/>
      </c>
      <c r="H15" s="19" t="inlineStr">
        <is>
          <t>← libre de deudas</t>
        </is>
      </c>
      <c r="I15" s="6">
        <f>SUM(I2:I14)</f>
        <v/>
      </c>
    </row>
    <row r="17">
      <c r="A17" s="5" t="inlineStr">
        <is>
          <t>Por bloque</t>
        </is>
      </c>
    </row>
    <row r="18">
      <c r="A18" s="8" t="inlineStr">
        <is>
          <t>Fijo</t>
        </is>
      </c>
      <c r="D18" s="3">
        <f>SUMIFS(D2:D14,B2:B14,A18)</f>
        <v/>
      </c>
    </row>
    <row r="19">
      <c r="A19" s="14" t="inlineStr">
        <is>
          <t>Aplazable</t>
        </is>
      </c>
      <c r="D19" s="3">
        <f>SUMIFS(D2:D14,B2:B14,A19)</f>
        <v/>
      </c>
    </row>
    <row r="20">
      <c r="A20" s="15" t="inlineStr">
        <is>
          <t>Amigo</t>
        </is>
      </c>
      <c r="D20" s="3">
        <f>SUMIFS(D2:D14,B2:B14,A20)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6" customWidth="1" min="3" max="3"/>
    <col width="12" customWidth="1" min="4" max="4"/>
    <col width="22" customWidth="1" min="5" max="5"/>
    <col width="14" customWidth="1" min="6" max="6"/>
    <col width="14" customWidth="1" min="7" max="7"/>
    <col width="12" customWidth="1" min="9" max="9"/>
    <col width="22" customWidth="1" min="10" max="10"/>
  </cols>
  <sheetData>
    <row r="1">
      <c r="A1" s="20" t="inlineStr">
        <is>
          <t>Fecha</t>
        </is>
      </c>
      <c r="B1" s="20" t="inlineStr">
        <is>
          <t>Mes</t>
        </is>
      </c>
      <c r="C1" s="20" t="inlineStr">
        <is>
          <t>Concepto</t>
        </is>
      </c>
      <c r="D1" s="20" t="inlineStr">
        <is>
          <t>Tipo</t>
        </is>
      </c>
      <c r="E1" s="20" t="inlineStr">
        <is>
          <t>Deuda</t>
        </is>
      </c>
      <c r="F1" s="20" t="inlineStr">
        <is>
          <t>Importe (€)</t>
        </is>
      </c>
      <c r="G1" s="20" t="inlineStr">
        <is>
          <t>Saldo (€)</t>
        </is>
      </c>
      <c r="I1" s="5" t="inlineStr">
        <is>
          <t>Leyenda</t>
        </is>
      </c>
    </row>
    <row r="2">
      <c r="A2" s="21">
        <f>Supuestos!B4</f>
        <v/>
      </c>
      <c r="B2" s="22">
        <f>DATE(YEAR(A2),MONTH(A2),1)</f>
        <v/>
      </c>
      <c r="C2" s="23" t="inlineStr">
        <is>
          <t>Saldo inicial</t>
        </is>
      </c>
      <c r="D2" s="23" t="n"/>
      <c r="E2" s="23" t="n"/>
      <c r="F2" s="23" t="n"/>
      <c r="G2" s="24">
        <f>Supuestos!B5</f>
        <v/>
      </c>
      <c r="I2" s="8" t="inlineStr">
        <is>
          <t>Fijo</t>
        </is>
      </c>
      <c r="J2" s="13" t="inlineStr">
        <is>
          <t>No se aplaza</t>
        </is>
      </c>
    </row>
    <row r="3">
      <c r="A3" s="25" t="n">
        <v>46309</v>
      </c>
      <c r="B3" s="26">
        <f>DATE(YEAR(A3),MONTH(A3),1)</f>
        <v/>
      </c>
      <c r="C3" s="27" t="inlineStr">
        <is>
          <t>Gastos de vida hasta el 29 oct (estimado)</t>
        </is>
      </c>
      <c r="D3" s="28" t="inlineStr">
        <is>
          <t>Gasto</t>
        </is>
      </c>
      <c r="E3" s="27" t="inlineStr"/>
      <c r="F3" s="29">
        <f>-Supuestos!B6</f>
        <v/>
      </c>
      <c r="G3" s="30">
        <f>G2+F3</f>
        <v/>
      </c>
      <c r="I3" s="14" t="inlineStr">
        <is>
          <t>Aplazable</t>
        </is>
      </c>
      <c r="J3" s="13" t="inlineStr">
        <is>
          <t>Aplazable sin coste</t>
        </is>
      </c>
    </row>
    <row r="4">
      <c r="A4" s="25" t="n">
        <v>46324</v>
      </c>
      <c r="B4" s="26">
        <f>DATE(YEAR(A4),MONTH(A4),1)</f>
        <v/>
      </c>
      <c r="C4" s="27" t="inlineStr">
        <is>
          <t>Nómina</t>
        </is>
      </c>
      <c r="D4" s="31" t="inlineStr">
        <is>
          <t>Ingreso</t>
        </is>
      </c>
      <c r="E4" s="27" t="inlineStr"/>
      <c r="F4" s="32" t="n">
        <v>3100</v>
      </c>
      <c r="G4" s="30">
        <f>G3+F4</f>
        <v/>
      </c>
      <c r="I4" s="15" t="inlineStr">
        <is>
          <t>Amigo</t>
        </is>
      </c>
      <c r="J4" s="13" t="inlineStr">
        <is>
          <t>Préstamo personal</t>
        </is>
      </c>
    </row>
    <row r="5">
      <c r="A5" s="25" t="n">
        <v>46327</v>
      </c>
      <c r="B5" s="26">
        <f>DATE(YEAR(A5),MONTH(A5),1)</f>
        <v/>
      </c>
      <c r="C5" s="27" t="inlineStr">
        <is>
          <t>Moneyman · pago (sin volver a pedirlo)</t>
        </is>
      </c>
      <c r="D5" s="33" t="inlineStr">
        <is>
          <t>Fijo</t>
        </is>
      </c>
      <c r="E5" s="27" t="inlineStr">
        <is>
          <t>Moneyman</t>
        </is>
      </c>
      <c r="F5" s="32" t="n">
        <v>-1400</v>
      </c>
      <c r="G5" s="30">
        <f>G4+F5</f>
        <v/>
      </c>
      <c r="I5" s="34" t="inlineStr">
        <is>
          <t>Ingreso</t>
        </is>
      </c>
      <c r="J5" s="13" t="inlineStr">
        <is>
          <t>Nómina / extras</t>
        </is>
      </c>
    </row>
    <row r="6">
      <c r="A6" s="25" t="n">
        <v>46327</v>
      </c>
      <c r="B6" s="26">
        <f>DATE(YEAR(A6),MONTH(A6),1)</f>
        <v/>
      </c>
      <c r="C6" s="27" t="inlineStr">
        <is>
          <t>Vivus · cuota 1/4 (no aplazable)</t>
        </is>
      </c>
      <c r="D6" s="33" t="inlineStr">
        <is>
          <t>Fijo</t>
        </is>
      </c>
      <c r="E6" s="27" t="inlineStr">
        <is>
          <t>Vivus</t>
        </is>
      </c>
      <c r="F6" s="32" t="n">
        <v>-537</v>
      </c>
      <c r="G6" s="30">
        <f>G5+F6</f>
        <v/>
      </c>
      <c r="I6" s="35" t="inlineStr">
        <is>
          <t>Gasto</t>
        </is>
      </c>
      <c r="J6" s="13" t="inlineStr">
        <is>
          <t>Gastos de vida</t>
        </is>
      </c>
    </row>
    <row r="7">
      <c r="A7" s="25" t="n">
        <v>46327</v>
      </c>
      <c r="B7" s="26">
        <f>DATE(YEAR(A7),MONTH(A7),1)</f>
        <v/>
      </c>
      <c r="C7" s="27" t="inlineStr">
        <is>
          <t>Pagolisto 1 · pagas 231,11 € y lo vuelves a pedir (neto 0)</t>
        </is>
      </c>
      <c r="D7" s="36" t="inlineStr">
        <is>
          <t>Aplazable</t>
        </is>
      </c>
      <c r="E7" s="27" t="inlineStr"/>
      <c r="F7" s="32" t="n">
        <v>0</v>
      </c>
      <c r="G7" s="30">
        <f>G6+F7</f>
        <v/>
      </c>
    </row>
    <row r="8">
      <c r="A8" s="25" t="n">
        <v>46327</v>
      </c>
      <c r="B8" s="26">
        <f>DATE(YEAR(A8),MONTH(A8),1)</f>
        <v/>
      </c>
      <c r="C8" s="27" t="inlineStr">
        <is>
          <t>Pagolisto 2 · pagas 307,87 € y lo vuelves a pedir (neto 0)</t>
        </is>
      </c>
      <c r="D8" s="36" t="inlineStr">
        <is>
          <t>Aplazable</t>
        </is>
      </c>
      <c r="E8" s="27" t="inlineStr"/>
      <c r="F8" s="32" t="n">
        <v>0</v>
      </c>
      <c r="G8" s="30">
        <f>G7+F8</f>
        <v/>
      </c>
      <c r="I8" s="13" t="inlineStr">
        <is>
          <t>Azul: importe fijo · Verde: viene de Supuestos</t>
        </is>
      </c>
    </row>
    <row r="9">
      <c r="A9" s="25" t="n">
        <v>46327</v>
      </c>
      <c r="B9" s="26">
        <f>DATE(YEAR(A9),MONTH(A9),1)</f>
        <v/>
      </c>
      <c r="C9" s="27" t="inlineStr">
        <is>
          <t>Crédito Santander 1 · pagas 494,54 € y lo vuelves a pedir (neto 0)</t>
        </is>
      </c>
      <c r="D9" s="36" t="inlineStr">
        <is>
          <t>Aplazable</t>
        </is>
      </c>
      <c r="E9" s="27" t="inlineStr"/>
      <c r="F9" s="32" t="n">
        <v>0</v>
      </c>
      <c r="G9" s="30">
        <f>G8+F9</f>
        <v/>
      </c>
    </row>
    <row r="10">
      <c r="A10" s="25" t="n">
        <v>46327</v>
      </c>
      <c r="B10" s="26">
        <f>DATE(YEAR(A10),MONTH(A10),1)</f>
        <v/>
      </c>
      <c r="C10" s="27" t="inlineStr">
        <is>
          <t>Santander (préstamo) · cuota</t>
        </is>
      </c>
      <c r="D10" s="33" t="inlineStr">
        <is>
          <t>Fijo</t>
        </is>
      </c>
      <c r="E10" s="27" t="inlineStr">
        <is>
          <t>Santander (préstamo)</t>
        </is>
      </c>
      <c r="F10" s="32" t="n">
        <v>-96</v>
      </c>
      <c r="G10" s="30">
        <f>G9+F10</f>
        <v/>
      </c>
    </row>
    <row r="11">
      <c r="A11" s="25" t="n">
        <v>46327</v>
      </c>
      <c r="B11" s="26">
        <f>DATE(YEAR(A11),MONTH(A11),1)</f>
        <v/>
      </c>
      <c r="C11" s="27" t="inlineStr">
        <is>
          <t>Crédito Santander 2 · cuota</t>
        </is>
      </c>
      <c r="D11" s="36" t="inlineStr">
        <is>
          <t>Aplazable</t>
        </is>
      </c>
      <c r="E11" s="27" t="inlineStr">
        <is>
          <t>Crédito Santander 2</t>
        </is>
      </c>
      <c r="F11" s="32" t="n">
        <v>-122.46</v>
      </c>
      <c r="G11" s="30">
        <f>G10+F11</f>
        <v/>
      </c>
    </row>
    <row r="12">
      <c r="A12" s="25" t="n">
        <v>46327</v>
      </c>
      <c r="B12" s="26">
        <f>DATE(YEAR(A12),MONTH(A12),1)</f>
        <v/>
      </c>
      <c r="C12" s="27" t="inlineStr">
        <is>
          <t>Gastos de vida</t>
        </is>
      </c>
      <c r="D12" s="28" t="inlineStr">
        <is>
          <t>Gasto</t>
        </is>
      </c>
      <c r="E12" s="27" t="inlineStr"/>
      <c r="F12" s="29">
        <f>-Supuestos!B7</f>
        <v/>
      </c>
      <c r="G12" s="30">
        <f>G11+F12</f>
        <v/>
      </c>
    </row>
    <row r="13">
      <c r="A13" s="25" t="n">
        <v>46340</v>
      </c>
      <c r="B13" s="26">
        <f>DATE(YEAR(A13),MONTH(A13),1)</f>
        <v/>
      </c>
      <c r="C13" s="27" t="inlineStr">
        <is>
          <t>Smartcredito · pago único</t>
        </is>
      </c>
      <c r="D13" s="33" t="inlineStr">
        <is>
          <t>Fijo</t>
        </is>
      </c>
      <c r="E13" s="27" t="inlineStr">
        <is>
          <t>Smartcredito</t>
        </is>
      </c>
      <c r="F13" s="32" t="n">
        <v>-435</v>
      </c>
      <c r="G13" s="30">
        <f>G12+F13</f>
        <v/>
      </c>
    </row>
    <row r="14">
      <c r="A14" s="25" t="n">
        <v>46355</v>
      </c>
      <c r="B14" s="26">
        <f>DATE(YEAR(A14),MONTH(A14),1)</f>
        <v/>
      </c>
      <c r="C14" s="27" t="inlineStr">
        <is>
          <t>Nómina</t>
        </is>
      </c>
      <c r="D14" s="31" t="inlineStr">
        <is>
          <t>Ingreso</t>
        </is>
      </c>
      <c r="E14" s="27" t="inlineStr"/>
      <c r="F14" s="32" t="n">
        <v>3453.01</v>
      </c>
      <c r="G14" s="30">
        <f>G13+F14</f>
        <v/>
      </c>
    </row>
    <row r="15">
      <c r="A15" s="25" t="n">
        <v>46355</v>
      </c>
      <c r="B15" s="26">
        <f>DATE(YEAR(A15),MONTH(A15),1)</f>
        <v/>
      </c>
      <c r="C15" s="27" t="inlineStr">
        <is>
          <t>Vivus · liquidación del resto (total 1.500 € en vez de 2.148 €)</t>
        </is>
      </c>
      <c r="D15" s="33" t="inlineStr">
        <is>
          <t>Fijo</t>
        </is>
      </c>
      <c r="E15" s="27" t="inlineStr">
        <is>
          <t>Vivus</t>
        </is>
      </c>
      <c r="F15" s="32" t="n">
        <v>-963</v>
      </c>
      <c r="G15" s="30">
        <f>G14+F15</f>
        <v/>
      </c>
    </row>
    <row r="16">
      <c r="A16" s="25" t="n">
        <v>46355</v>
      </c>
      <c r="B16" s="26">
        <f>DATE(YEAR(A16),MONTH(A16),1)</f>
        <v/>
      </c>
      <c r="C16" s="27" t="inlineStr">
        <is>
          <t>Devolución a Ama</t>
        </is>
      </c>
      <c r="D16" s="37" t="inlineStr">
        <is>
          <t>Amigo</t>
        </is>
      </c>
      <c r="E16" s="27" t="inlineStr">
        <is>
          <t>Ama</t>
        </is>
      </c>
      <c r="F16" s="32" t="n">
        <v>-600</v>
      </c>
      <c r="G16" s="30">
        <f>G15+F16</f>
        <v/>
      </c>
    </row>
    <row r="17">
      <c r="A17" s="25" t="n">
        <v>46357</v>
      </c>
      <c r="B17" s="26">
        <f>DATE(YEAR(A17),MONTH(A17),1)</f>
        <v/>
      </c>
      <c r="C17" s="27" t="inlineStr">
        <is>
          <t>Santander (préstamo) · cuota</t>
        </is>
      </c>
      <c r="D17" s="33" t="inlineStr">
        <is>
          <t>Fijo</t>
        </is>
      </c>
      <c r="E17" s="27" t="inlineStr">
        <is>
          <t>Santander (préstamo)</t>
        </is>
      </c>
      <c r="F17" s="32" t="n">
        <v>-96</v>
      </c>
      <c r="G17" s="30">
        <f>G16+F17</f>
        <v/>
      </c>
    </row>
    <row r="18">
      <c r="A18" s="25" t="n">
        <v>46357</v>
      </c>
      <c r="B18" s="26">
        <f>DATE(YEAR(A18),MONTH(A18),1)</f>
        <v/>
      </c>
      <c r="C18" s="27" t="inlineStr">
        <is>
          <t>Crédito Santander 2 · cuota</t>
        </is>
      </c>
      <c r="D18" s="36" t="inlineStr">
        <is>
          <t>Aplazable</t>
        </is>
      </c>
      <c r="E18" s="27" t="inlineStr">
        <is>
          <t>Crédito Santander 2</t>
        </is>
      </c>
      <c r="F18" s="32" t="n">
        <v>-122.46</v>
      </c>
      <c r="G18" s="30">
        <f>G17+F18</f>
        <v/>
      </c>
    </row>
    <row r="19">
      <c r="A19" s="25" t="n">
        <v>46357</v>
      </c>
      <c r="B19" s="26">
        <f>DATE(YEAR(A19),MONTH(A19),1)</f>
        <v/>
      </c>
      <c r="C19" s="27" t="inlineStr">
        <is>
          <t>Pagolisto 1 · cuota 1/3</t>
        </is>
      </c>
      <c r="D19" s="36" t="inlineStr">
        <is>
          <t>Aplazable</t>
        </is>
      </c>
      <c r="E19" s="27" t="inlineStr">
        <is>
          <t>Pagolisto 1</t>
        </is>
      </c>
      <c r="F19" s="32" t="n">
        <v>-231.11</v>
      </c>
      <c r="G19" s="30">
        <f>G18+F19</f>
        <v/>
      </c>
    </row>
    <row r="20">
      <c r="A20" s="25" t="n">
        <v>46357</v>
      </c>
      <c r="B20" s="26">
        <f>DATE(YEAR(A20),MONTH(A20),1)</f>
        <v/>
      </c>
      <c r="C20" s="27" t="inlineStr">
        <is>
          <t>Pagolisto 2 · cuota 1/3</t>
        </is>
      </c>
      <c r="D20" s="36" t="inlineStr">
        <is>
          <t>Aplazable</t>
        </is>
      </c>
      <c r="E20" s="27" t="inlineStr">
        <is>
          <t>Pagolisto 2</t>
        </is>
      </c>
      <c r="F20" s="32" t="n">
        <v>-307.87</v>
      </c>
      <c r="G20" s="30">
        <f>G19+F20</f>
        <v/>
      </c>
    </row>
    <row r="21">
      <c r="A21" s="25" t="n">
        <v>46357</v>
      </c>
      <c r="B21" s="26">
        <f>DATE(YEAR(A21),MONTH(A21),1)</f>
        <v/>
      </c>
      <c r="C21" s="27" t="inlineStr">
        <is>
          <t>Crédito Santander 1 · cuota 1/3</t>
        </is>
      </c>
      <c r="D21" s="36" t="inlineStr">
        <is>
          <t>Aplazable</t>
        </is>
      </c>
      <c r="E21" s="27" t="inlineStr">
        <is>
          <t>Crédito Santander 1</t>
        </is>
      </c>
      <c r="F21" s="32" t="n">
        <v>-494.54</v>
      </c>
      <c r="G21" s="30">
        <f>G20+F21</f>
        <v/>
      </c>
    </row>
    <row r="22">
      <c r="A22" s="25" t="n">
        <v>46357</v>
      </c>
      <c r="B22" s="26">
        <f>DATE(YEAR(A22),MONTH(A22),1)</f>
        <v/>
      </c>
      <c r="C22" s="27" t="inlineStr">
        <is>
          <t>Gastos de vida</t>
        </is>
      </c>
      <c r="D22" s="28" t="inlineStr">
        <is>
          <t>Gasto</t>
        </is>
      </c>
      <c r="E22" s="27" t="inlineStr"/>
      <c r="F22" s="29">
        <f>-Supuestos!B7</f>
        <v/>
      </c>
      <c r="G22" s="30">
        <f>G21+F22</f>
        <v/>
      </c>
    </row>
    <row r="23">
      <c r="A23" s="25" t="n">
        <v>46385</v>
      </c>
      <c r="B23" s="26">
        <f>DATE(YEAR(A23),MONTH(A23),1)</f>
        <v/>
      </c>
      <c r="C23" s="27" t="inlineStr">
        <is>
          <t>Nómina</t>
        </is>
      </c>
      <c r="D23" s="31" t="inlineStr">
        <is>
          <t>Ingreso</t>
        </is>
      </c>
      <c r="E23" s="27" t="inlineStr"/>
      <c r="F23" s="32" t="n">
        <v>3453.01</v>
      </c>
      <c r="G23" s="30">
        <f>G22+F23</f>
        <v/>
      </c>
    </row>
    <row r="24">
      <c r="A24" s="25" t="n">
        <v>46385</v>
      </c>
      <c r="B24" s="26">
        <f>DATE(YEAR(A24),MONTH(A24),1)</f>
        <v/>
      </c>
      <c r="C24" s="27" t="inlineStr">
        <is>
          <t>Paga extra de diciembre</t>
        </is>
      </c>
      <c r="D24" s="31" t="inlineStr">
        <is>
          <t>Ingreso</t>
        </is>
      </c>
      <c r="E24" s="27" t="inlineStr"/>
      <c r="F24" s="32" t="n">
        <v>2014.69</v>
      </c>
      <c r="G24" s="30">
        <f>G23+F24</f>
        <v/>
      </c>
    </row>
    <row r="25">
      <c r="A25" s="25" t="n">
        <v>46385</v>
      </c>
      <c r="B25" s="26">
        <f>DATE(YEAR(A25),MONTH(A25),1)</f>
        <v/>
      </c>
      <c r="C25" s="27" t="inlineStr">
        <is>
          <t>Devolución a Joserra</t>
        </is>
      </c>
      <c r="D25" s="37" t="inlineStr">
        <is>
          <t>Amigo</t>
        </is>
      </c>
      <c r="E25" s="27" t="inlineStr">
        <is>
          <t>Joserra</t>
        </is>
      </c>
      <c r="F25" s="32" t="n">
        <v>-400</v>
      </c>
      <c r="G25" s="30">
        <f>G24+F25</f>
        <v/>
      </c>
    </row>
    <row r="26">
      <c r="A26" s="25" t="n">
        <v>46388</v>
      </c>
      <c r="B26" s="26">
        <f>DATE(YEAR(A26),MONTH(A26),1)</f>
        <v/>
      </c>
      <c r="C26" s="27" t="inlineStr">
        <is>
          <t>Santander (préstamo) · cuota</t>
        </is>
      </c>
      <c r="D26" s="33" t="inlineStr">
        <is>
          <t>Fijo</t>
        </is>
      </c>
      <c r="E26" s="27" t="inlineStr">
        <is>
          <t>Santander (préstamo)</t>
        </is>
      </c>
      <c r="F26" s="32" t="n">
        <v>-96</v>
      </c>
      <c r="G26" s="30">
        <f>G25+F26</f>
        <v/>
      </c>
    </row>
    <row r="27">
      <c r="A27" s="25" t="n">
        <v>46388</v>
      </c>
      <c r="B27" s="26">
        <f>DATE(YEAR(A27),MONTH(A27),1)</f>
        <v/>
      </c>
      <c r="C27" s="27" t="inlineStr">
        <is>
          <t>Crédito Santander 2 · cuota</t>
        </is>
      </c>
      <c r="D27" s="36" t="inlineStr">
        <is>
          <t>Aplazable</t>
        </is>
      </c>
      <c r="E27" s="27" t="inlineStr">
        <is>
          <t>Crédito Santander 2</t>
        </is>
      </c>
      <c r="F27" s="32" t="n">
        <v>-122.46</v>
      </c>
      <c r="G27" s="30">
        <f>G26+F27</f>
        <v/>
      </c>
    </row>
    <row r="28">
      <c r="A28" s="25" t="n">
        <v>46388</v>
      </c>
      <c r="B28" s="26">
        <f>DATE(YEAR(A28),MONTH(A28),1)</f>
        <v/>
      </c>
      <c r="C28" s="27" t="inlineStr">
        <is>
          <t>Pagolisto 1 · cuota 2/3</t>
        </is>
      </c>
      <c r="D28" s="36" t="inlineStr">
        <is>
          <t>Aplazable</t>
        </is>
      </c>
      <c r="E28" s="27" t="inlineStr">
        <is>
          <t>Pagolisto 1</t>
        </is>
      </c>
      <c r="F28" s="32" t="n">
        <v>-231.11</v>
      </c>
      <c r="G28" s="30">
        <f>G27+F28</f>
        <v/>
      </c>
    </row>
    <row r="29">
      <c r="A29" s="25" t="n">
        <v>46388</v>
      </c>
      <c r="B29" s="26">
        <f>DATE(YEAR(A29),MONTH(A29),1)</f>
        <v/>
      </c>
      <c r="C29" s="27" t="inlineStr">
        <is>
          <t>Pagolisto 2 · cuota 2/3</t>
        </is>
      </c>
      <c r="D29" s="36" t="inlineStr">
        <is>
          <t>Aplazable</t>
        </is>
      </c>
      <c r="E29" s="27" t="inlineStr">
        <is>
          <t>Pagolisto 2</t>
        </is>
      </c>
      <c r="F29" s="32" t="n">
        <v>-307.87</v>
      </c>
      <c r="G29" s="30">
        <f>G28+F29</f>
        <v/>
      </c>
    </row>
    <row r="30">
      <c r="A30" s="25" t="n">
        <v>46388</v>
      </c>
      <c r="B30" s="26">
        <f>DATE(YEAR(A30),MONTH(A30),1)</f>
        <v/>
      </c>
      <c r="C30" s="27" t="inlineStr">
        <is>
          <t>Crédito Santander 1 · cuota 2/3</t>
        </is>
      </c>
      <c r="D30" s="36" t="inlineStr">
        <is>
          <t>Aplazable</t>
        </is>
      </c>
      <c r="E30" s="27" t="inlineStr">
        <is>
          <t>Crédito Santander 1</t>
        </is>
      </c>
      <c r="F30" s="32" t="n">
        <v>-494.54</v>
      </c>
      <c r="G30" s="30">
        <f>G29+F30</f>
        <v/>
      </c>
    </row>
    <row r="31">
      <c r="A31" s="25" t="n">
        <v>46388</v>
      </c>
      <c r="B31" s="26">
        <f>DATE(YEAR(A31),MONTH(A31),1)</f>
        <v/>
      </c>
      <c r="C31" s="27" t="inlineStr">
        <is>
          <t>Devolución a Xabi</t>
        </is>
      </c>
      <c r="D31" s="37" t="inlineStr">
        <is>
          <t>Amigo</t>
        </is>
      </c>
      <c r="E31" s="27" t="inlineStr">
        <is>
          <t>Xabi</t>
        </is>
      </c>
      <c r="F31" s="32" t="n">
        <v>-300</v>
      </c>
      <c r="G31" s="30">
        <f>G30+F31</f>
        <v/>
      </c>
    </row>
    <row r="32">
      <c r="A32" s="25" t="n">
        <v>46388</v>
      </c>
      <c r="B32" s="26">
        <f>DATE(YEAR(A32),MONTH(A32),1)</f>
        <v/>
      </c>
      <c r="C32" s="27" t="inlineStr">
        <is>
          <t>Gastos de vida</t>
        </is>
      </c>
      <c r="D32" s="28" t="inlineStr">
        <is>
          <t>Gasto</t>
        </is>
      </c>
      <c r="E32" s="27" t="inlineStr"/>
      <c r="F32" s="29">
        <f>-Supuestos!B7</f>
        <v/>
      </c>
      <c r="G32" s="30">
        <f>G31+F32</f>
        <v/>
      </c>
    </row>
    <row r="33">
      <c r="A33" s="25" t="n">
        <v>46416</v>
      </c>
      <c r="B33" s="26">
        <f>DATE(YEAR(A33),MONTH(A33),1)</f>
        <v/>
      </c>
      <c r="C33" s="27" t="inlineStr">
        <is>
          <t>Nómina</t>
        </is>
      </c>
      <c r="D33" s="31" t="inlineStr">
        <is>
          <t>Ingreso</t>
        </is>
      </c>
      <c r="E33" s="27" t="inlineStr"/>
      <c r="F33" s="32" t="n">
        <v>3173.56</v>
      </c>
      <c r="G33" s="30">
        <f>G32+F33</f>
        <v/>
      </c>
    </row>
    <row r="34">
      <c r="A34" s="25" t="n">
        <v>46419</v>
      </c>
      <c r="B34" s="26">
        <f>DATE(YEAR(A34),MONTH(A34),1)</f>
        <v/>
      </c>
      <c r="C34" s="27" t="inlineStr">
        <is>
          <t>Santander (préstamo) · cuota</t>
        </is>
      </c>
      <c r="D34" s="33" t="inlineStr">
        <is>
          <t>Fijo</t>
        </is>
      </c>
      <c r="E34" s="27" t="inlineStr">
        <is>
          <t>Santander (préstamo)</t>
        </is>
      </c>
      <c r="F34" s="32" t="n">
        <v>-96</v>
      </c>
      <c r="G34" s="30">
        <f>G33+F34</f>
        <v/>
      </c>
    </row>
    <row r="35">
      <c r="A35" s="25" t="n">
        <v>46419</v>
      </c>
      <c r="B35" s="26">
        <f>DATE(YEAR(A35),MONTH(A35),1)</f>
        <v/>
      </c>
      <c r="C35" s="27" t="inlineStr">
        <is>
          <t>Crédito Santander 2 · cuota</t>
        </is>
      </c>
      <c r="D35" s="36" t="inlineStr">
        <is>
          <t>Aplazable</t>
        </is>
      </c>
      <c r="E35" s="27" t="inlineStr">
        <is>
          <t>Crédito Santander 2</t>
        </is>
      </c>
      <c r="F35" s="32" t="n">
        <v>-122.46</v>
      </c>
      <c r="G35" s="30">
        <f>G34+F35</f>
        <v/>
      </c>
    </row>
    <row r="36">
      <c r="A36" s="25" t="n">
        <v>46419</v>
      </c>
      <c r="B36" s="26">
        <f>DATE(YEAR(A36),MONTH(A36),1)</f>
        <v/>
      </c>
      <c r="C36" s="27" t="inlineStr">
        <is>
          <t>Pagolisto 1 · cuota 3/3</t>
        </is>
      </c>
      <c r="D36" s="36" t="inlineStr">
        <is>
          <t>Aplazable</t>
        </is>
      </c>
      <c r="E36" s="27" t="inlineStr">
        <is>
          <t>Pagolisto 1</t>
        </is>
      </c>
      <c r="F36" s="32" t="n">
        <v>-231.12</v>
      </c>
      <c r="G36" s="30">
        <f>G35+F36</f>
        <v/>
      </c>
    </row>
    <row r="37">
      <c r="A37" s="25" t="n">
        <v>46419</v>
      </c>
      <c r="B37" s="26">
        <f>DATE(YEAR(A37),MONTH(A37),1)</f>
        <v/>
      </c>
      <c r="C37" s="27" t="inlineStr">
        <is>
          <t>Pagolisto 2 · cuota 3/3</t>
        </is>
      </c>
      <c r="D37" s="36" t="inlineStr">
        <is>
          <t>Aplazable</t>
        </is>
      </c>
      <c r="E37" s="27" t="inlineStr">
        <is>
          <t>Pagolisto 2</t>
        </is>
      </c>
      <c r="F37" s="32" t="n">
        <v>-307.87</v>
      </c>
      <c r="G37" s="30">
        <f>G36+F37</f>
        <v/>
      </c>
    </row>
    <row r="38">
      <c r="A38" s="25" t="n">
        <v>46419</v>
      </c>
      <c r="B38" s="26">
        <f>DATE(YEAR(A38),MONTH(A38),1)</f>
        <v/>
      </c>
      <c r="C38" s="27" t="inlineStr">
        <is>
          <t>Crédito Santander 1 · cuota 3/3</t>
        </is>
      </c>
      <c r="D38" s="36" t="inlineStr">
        <is>
          <t>Aplazable</t>
        </is>
      </c>
      <c r="E38" s="27" t="inlineStr">
        <is>
          <t>Crédito Santander 1</t>
        </is>
      </c>
      <c r="F38" s="32" t="n">
        <v>-494.55</v>
      </c>
      <c r="G38" s="30">
        <f>G37+F38</f>
        <v/>
      </c>
    </row>
    <row r="39">
      <c r="A39" s="25" t="n">
        <v>46419</v>
      </c>
      <c r="B39" s="26">
        <f>DATE(YEAR(A39),MONTH(A39),1)</f>
        <v/>
      </c>
      <c r="C39" s="27" t="inlineStr">
        <is>
          <t>Devolución a Sergio</t>
        </is>
      </c>
      <c r="D39" s="37" t="inlineStr">
        <is>
          <t>Amigo</t>
        </is>
      </c>
      <c r="E39" s="27" t="inlineStr">
        <is>
          <t>Sergio</t>
        </is>
      </c>
      <c r="F39" s="32" t="n">
        <v>-1700</v>
      </c>
      <c r="G39" s="30">
        <f>G38+F39</f>
        <v/>
      </c>
    </row>
    <row r="40">
      <c r="A40" s="25" t="n">
        <v>46419</v>
      </c>
      <c r="B40" s="26">
        <f>DATE(YEAR(A40),MONTH(A40),1)</f>
        <v/>
      </c>
      <c r="C40" s="27" t="inlineStr">
        <is>
          <t>Gastos de vida</t>
        </is>
      </c>
      <c r="D40" s="28" t="inlineStr">
        <is>
          <t>Gasto</t>
        </is>
      </c>
      <c r="E40" s="27" t="inlineStr"/>
      <c r="F40" s="29">
        <f>-Supuestos!B7</f>
        <v/>
      </c>
      <c r="G40" s="30">
        <f>G39+F40</f>
        <v/>
      </c>
    </row>
    <row r="41">
      <c r="A41" s="25" t="n">
        <v>46446</v>
      </c>
      <c r="B41" s="26">
        <f>DATE(YEAR(A41),MONTH(A41),1)</f>
        <v/>
      </c>
      <c r="C41" s="27" t="inlineStr">
        <is>
          <t>Nómina</t>
        </is>
      </c>
      <c r="D41" s="31" t="inlineStr">
        <is>
          <t>Ingreso</t>
        </is>
      </c>
      <c r="E41" s="27" t="inlineStr"/>
      <c r="F41" s="32" t="n">
        <v>3173.56</v>
      </c>
      <c r="G41" s="30">
        <f>G40+F41</f>
        <v/>
      </c>
    </row>
    <row r="42">
      <c r="A42" s="25" t="n">
        <v>46446</v>
      </c>
      <c r="B42" s="26">
        <f>DATE(YEAR(A42),MONTH(A42),1)</f>
        <v/>
      </c>
      <c r="C42" s="27" t="inlineStr">
        <is>
          <t>Variable de febrero</t>
        </is>
      </c>
      <c r="D42" s="31" t="inlineStr">
        <is>
          <t>Ingreso</t>
        </is>
      </c>
      <c r="E42" s="27" t="inlineStr"/>
      <c r="F42" s="32" t="n">
        <v>2114.45</v>
      </c>
      <c r="G42" s="30">
        <f>G41+F42</f>
        <v/>
      </c>
    </row>
    <row r="43">
      <c r="A43" s="25" t="n">
        <v>46446</v>
      </c>
      <c r="B43" s="26">
        <f>DATE(YEAR(A43),MONTH(A43),1)</f>
        <v/>
      </c>
      <c r="C43" s="27" t="inlineStr">
        <is>
          <t>Devolución a Txomin</t>
        </is>
      </c>
      <c r="D43" s="37" t="inlineStr">
        <is>
          <t>Amigo</t>
        </is>
      </c>
      <c r="E43" s="27" t="inlineStr">
        <is>
          <t>Txomin</t>
        </is>
      </c>
      <c r="F43" s="32" t="n">
        <v>-2500</v>
      </c>
      <c r="G43" s="30">
        <f>G42+F43</f>
        <v/>
      </c>
    </row>
    <row r="44">
      <c r="A44" s="25" t="n">
        <v>46447</v>
      </c>
      <c r="B44" s="26">
        <f>DATE(YEAR(A44),MONTH(A44),1)</f>
        <v/>
      </c>
      <c r="C44" s="27" t="inlineStr">
        <is>
          <t>Santander (préstamo) · plan 500 €/mes</t>
        </is>
      </c>
      <c r="D44" s="33" t="inlineStr">
        <is>
          <t>Fijo</t>
        </is>
      </c>
      <c r="E44" s="27" t="inlineStr">
        <is>
          <t>Santander (préstamo)</t>
        </is>
      </c>
      <c r="F44" s="32" t="n">
        <v>-96</v>
      </c>
      <c r="G44" s="30">
        <f>G43+F44</f>
        <v/>
      </c>
    </row>
    <row r="45">
      <c r="A45" s="25" t="n">
        <v>46447</v>
      </c>
      <c r="B45" s="26">
        <f>DATE(YEAR(A45),MONTH(A45),1)</f>
        <v/>
      </c>
      <c r="C45" s="27" t="inlineStr">
        <is>
          <t>Crédito Santander 2 · plan 500 €/mes</t>
        </is>
      </c>
      <c r="D45" s="36" t="inlineStr">
        <is>
          <t>Aplazable</t>
        </is>
      </c>
      <c r="E45" s="27" t="inlineStr">
        <is>
          <t>Crédito Santander 2</t>
        </is>
      </c>
      <c r="F45" s="32" t="n">
        <v>-404</v>
      </c>
      <c r="G45" s="30">
        <f>G44+F45</f>
        <v/>
      </c>
    </row>
    <row r="46">
      <c r="A46" s="25" t="n">
        <v>46447</v>
      </c>
      <c r="B46" s="26">
        <f>DATE(YEAR(A46),MONTH(A46),1)</f>
        <v/>
      </c>
      <c r="C46" s="27" t="inlineStr">
        <is>
          <t>Gastos de vida</t>
        </is>
      </c>
      <c r="D46" s="28" t="inlineStr">
        <is>
          <t>Gasto</t>
        </is>
      </c>
      <c r="E46" s="27" t="inlineStr"/>
      <c r="F46" s="29">
        <f>-Supuestos!B7</f>
        <v/>
      </c>
      <c r="G46" s="30">
        <f>G45+F46</f>
        <v/>
      </c>
    </row>
    <row r="47">
      <c r="A47" s="25" t="n">
        <v>46475</v>
      </c>
      <c r="B47" s="26">
        <f>DATE(YEAR(A47),MONTH(A47),1)</f>
        <v/>
      </c>
      <c r="C47" s="27" t="inlineStr">
        <is>
          <t>Nómina</t>
        </is>
      </c>
      <c r="D47" s="31" t="inlineStr">
        <is>
          <t>Ingreso</t>
        </is>
      </c>
      <c r="E47" s="27" t="inlineStr"/>
      <c r="F47" s="32" t="n">
        <v>3173.56</v>
      </c>
      <c r="G47" s="30">
        <f>G46+F47</f>
        <v/>
      </c>
    </row>
    <row r="48">
      <c r="A48" s="25" t="n">
        <v>46478</v>
      </c>
      <c r="B48" s="26">
        <f>DATE(YEAR(A48),MONTH(A48),1)</f>
        <v/>
      </c>
      <c r="C48" s="27" t="inlineStr">
        <is>
          <t>Santander (préstamo) · plan 500 €/mes</t>
        </is>
      </c>
      <c r="D48" s="33" t="inlineStr">
        <is>
          <t>Fijo</t>
        </is>
      </c>
      <c r="E48" s="27" t="inlineStr">
        <is>
          <t>Santander (préstamo)</t>
        </is>
      </c>
      <c r="F48" s="32" t="n">
        <v>-96</v>
      </c>
      <c r="G48" s="30">
        <f>G47+F48</f>
        <v/>
      </c>
    </row>
    <row r="49">
      <c r="A49" s="25" t="n">
        <v>46478</v>
      </c>
      <c r="B49" s="26">
        <f>DATE(YEAR(A49),MONTH(A49),1)</f>
        <v/>
      </c>
      <c r="C49" s="27" t="inlineStr">
        <is>
          <t>Crédito Santander 2 · plan 500 €/mes</t>
        </is>
      </c>
      <c r="D49" s="36" t="inlineStr">
        <is>
          <t>Aplazable</t>
        </is>
      </c>
      <c r="E49" s="27" t="inlineStr">
        <is>
          <t>Crédito Santander 2</t>
        </is>
      </c>
      <c r="F49" s="32" t="n">
        <v>-404</v>
      </c>
      <c r="G49" s="30">
        <f>G48+F49</f>
        <v/>
      </c>
    </row>
    <row r="50">
      <c r="A50" s="25" t="n">
        <v>46478</v>
      </c>
      <c r="B50" s="26">
        <f>DATE(YEAR(A50),MONTH(A50),1)</f>
        <v/>
      </c>
      <c r="C50" s="27" t="inlineStr">
        <is>
          <t>Gastos de vida</t>
        </is>
      </c>
      <c r="D50" s="28" t="inlineStr">
        <is>
          <t>Gasto</t>
        </is>
      </c>
      <c r="E50" s="27" t="inlineStr"/>
      <c r="F50" s="29">
        <f>-Supuestos!B7</f>
        <v/>
      </c>
      <c r="G50" s="30">
        <f>G49+F50</f>
        <v/>
      </c>
    </row>
    <row r="51">
      <c r="A51" s="25" t="n">
        <v>46506</v>
      </c>
      <c r="B51" s="26">
        <f>DATE(YEAR(A51),MONTH(A51),1)</f>
        <v/>
      </c>
      <c r="C51" s="27" t="inlineStr">
        <is>
          <t>Nómina</t>
        </is>
      </c>
      <c r="D51" s="31" t="inlineStr">
        <is>
          <t>Ingreso</t>
        </is>
      </c>
      <c r="E51" s="27" t="inlineStr"/>
      <c r="F51" s="32" t="n">
        <v>3173.56</v>
      </c>
      <c r="G51" s="30">
        <f>G50+F51</f>
        <v/>
      </c>
    </row>
    <row r="52">
      <c r="A52" s="25" t="n">
        <v>46508</v>
      </c>
      <c r="B52" s="26">
        <f>DATE(YEAR(A52),MONTH(A52),1)</f>
        <v/>
      </c>
      <c r="C52" s="27" t="inlineStr">
        <is>
          <t>Santander (préstamo) · plan 500 €/mes</t>
        </is>
      </c>
      <c r="D52" s="33" t="inlineStr">
        <is>
          <t>Fijo</t>
        </is>
      </c>
      <c r="E52" s="27" t="inlineStr">
        <is>
          <t>Santander (préstamo)</t>
        </is>
      </c>
      <c r="F52" s="32" t="n">
        <v>-96</v>
      </c>
      <c r="G52" s="30">
        <f>G51+F52</f>
        <v/>
      </c>
    </row>
    <row r="53">
      <c r="A53" s="25" t="n">
        <v>46508</v>
      </c>
      <c r="B53" s="26">
        <f>DATE(YEAR(A53),MONTH(A53),1)</f>
        <v/>
      </c>
      <c r="C53" s="27" t="inlineStr">
        <is>
          <t>Crédito Santander 2 · plan 500 €/mes</t>
        </is>
      </c>
      <c r="D53" s="36" t="inlineStr">
        <is>
          <t>Aplazable</t>
        </is>
      </c>
      <c r="E53" s="27" t="inlineStr">
        <is>
          <t>Crédito Santander 2</t>
        </is>
      </c>
      <c r="F53" s="32" t="n">
        <v>-404</v>
      </c>
      <c r="G53" s="30">
        <f>G52+F53</f>
        <v/>
      </c>
    </row>
    <row r="54">
      <c r="A54" s="25" t="n">
        <v>46508</v>
      </c>
      <c r="B54" s="26">
        <f>DATE(YEAR(A54),MONTH(A54),1)</f>
        <v/>
      </c>
      <c r="C54" s="27" t="inlineStr">
        <is>
          <t>Gastos de vida</t>
        </is>
      </c>
      <c r="D54" s="28" t="inlineStr">
        <is>
          <t>Gasto</t>
        </is>
      </c>
      <c r="E54" s="27" t="inlineStr"/>
      <c r="F54" s="29">
        <f>-Supuestos!B7</f>
        <v/>
      </c>
      <c r="G54" s="30">
        <f>G53+F54</f>
        <v/>
      </c>
    </row>
    <row r="55">
      <c r="A55" s="25" t="n">
        <v>46536</v>
      </c>
      <c r="B55" s="26">
        <f>DATE(YEAR(A55),MONTH(A55),1)</f>
        <v/>
      </c>
      <c r="C55" s="27" t="inlineStr">
        <is>
          <t>Nómina</t>
        </is>
      </c>
      <c r="D55" s="31" t="inlineStr">
        <is>
          <t>Ingreso</t>
        </is>
      </c>
      <c r="E55" s="27" t="inlineStr"/>
      <c r="F55" s="32" t="n">
        <v>3173.56</v>
      </c>
      <c r="G55" s="30">
        <f>G54+F55</f>
        <v/>
      </c>
    </row>
    <row r="56">
      <c r="A56" s="25" t="n">
        <v>46539</v>
      </c>
      <c r="B56" s="26">
        <f>DATE(YEAR(A56),MONTH(A56),1)</f>
        <v/>
      </c>
      <c r="C56" s="27" t="inlineStr">
        <is>
          <t>Santander (préstamo) · plan 500 €/mes</t>
        </is>
      </c>
      <c r="D56" s="33" t="inlineStr">
        <is>
          <t>Fijo</t>
        </is>
      </c>
      <c r="E56" s="27" t="inlineStr">
        <is>
          <t>Santander (préstamo)</t>
        </is>
      </c>
      <c r="F56" s="32" t="n">
        <v>-96</v>
      </c>
      <c r="G56" s="30">
        <f>G55+F56</f>
        <v/>
      </c>
    </row>
    <row r="57">
      <c r="A57" s="25" t="n">
        <v>46539</v>
      </c>
      <c r="B57" s="26">
        <f>DATE(YEAR(A57),MONTH(A57),1)</f>
        <v/>
      </c>
      <c r="C57" s="27" t="inlineStr">
        <is>
          <t>Crédito Santander 2 · plan 500 €/mes</t>
        </is>
      </c>
      <c r="D57" s="36" t="inlineStr">
        <is>
          <t>Aplazable</t>
        </is>
      </c>
      <c r="E57" s="27" t="inlineStr">
        <is>
          <t>Crédito Santander 2</t>
        </is>
      </c>
      <c r="F57" s="32" t="n">
        <v>-404</v>
      </c>
      <c r="G57" s="30">
        <f>G56+F57</f>
        <v/>
      </c>
    </row>
    <row r="58">
      <c r="A58" s="25" t="n">
        <v>46539</v>
      </c>
      <c r="B58" s="26">
        <f>DATE(YEAR(A58),MONTH(A58),1)</f>
        <v/>
      </c>
      <c r="C58" s="27" t="inlineStr">
        <is>
          <t>Gastos de vida</t>
        </is>
      </c>
      <c r="D58" s="28" t="inlineStr">
        <is>
          <t>Gasto</t>
        </is>
      </c>
      <c r="E58" s="27" t="inlineStr"/>
      <c r="F58" s="29">
        <f>-Supuestos!B7</f>
        <v/>
      </c>
      <c r="G58" s="30">
        <f>G57+F58</f>
        <v/>
      </c>
    </row>
    <row r="59">
      <c r="A59" s="25" t="n">
        <v>46567</v>
      </c>
      <c r="B59" s="26">
        <f>DATE(YEAR(A59),MONTH(A59),1)</f>
        <v/>
      </c>
      <c r="C59" s="27" t="inlineStr">
        <is>
          <t>Nómina</t>
        </is>
      </c>
      <c r="D59" s="31" t="inlineStr">
        <is>
          <t>Ingreso</t>
        </is>
      </c>
      <c r="E59" s="27" t="inlineStr"/>
      <c r="F59" s="32" t="n">
        <v>3173.56</v>
      </c>
      <c r="G59" s="30">
        <f>G58+F59</f>
        <v/>
      </c>
    </row>
    <row r="60">
      <c r="A60" s="25" t="n">
        <v>46567</v>
      </c>
      <c r="B60" s="26">
        <f>DATE(YEAR(A60),MONTH(A60),1)</f>
        <v/>
      </c>
      <c r="C60" s="27" t="inlineStr">
        <is>
          <t>Paga extra de junio</t>
        </is>
      </c>
      <c r="D60" s="31" t="inlineStr">
        <is>
          <t>Ingreso</t>
        </is>
      </c>
      <c r="E60" s="27" t="inlineStr"/>
      <c r="F60" s="32" t="n">
        <v>1989.05</v>
      </c>
      <c r="G60" s="30">
        <f>G59+F60</f>
        <v/>
      </c>
    </row>
    <row r="61">
      <c r="A61" s="25" t="n">
        <v>46569</v>
      </c>
      <c r="B61" s="26">
        <f>DATE(YEAR(A61),MONTH(A61),1)</f>
        <v/>
      </c>
      <c r="C61" s="27" t="inlineStr">
        <is>
          <t>Santander (préstamo) · plan 500 €/mes</t>
        </is>
      </c>
      <c r="D61" s="33" t="inlineStr">
        <is>
          <t>Fijo</t>
        </is>
      </c>
      <c r="E61" s="27" t="inlineStr">
        <is>
          <t>Santander (préstamo)</t>
        </is>
      </c>
      <c r="F61" s="32" t="n">
        <v>-279.08</v>
      </c>
      <c r="G61" s="30">
        <f>G60+F61</f>
        <v/>
      </c>
    </row>
    <row r="62">
      <c r="A62" s="25" t="n">
        <v>46569</v>
      </c>
      <c r="B62" s="26">
        <f>DATE(YEAR(A62),MONTH(A62),1)</f>
        <v/>
      </c>
      <c r="C62" s="27" t="inlineStr">
        <is>
          <t>Crédito Santander 2 · plan 500 €/mes</t>
        </is>
      </c>
      <c r="D62" s="36" t="inlineStr">
        <is>
          <t>Aplazable</t>
        </is>
      </c>
      <c r="E62" s="27" t="inlineStr">
        <is>
          <t>Crédito Santander 2</t>
        </is>
      </c>
      <c r="F62" s="32" t="n">
        <v>-220.92</v>
      </c>
      <c r="G62" s="30">
        <f>G61+F62</f>
        <v/>
      </c>
    </row>
    <row r="63">
      <c r="A63" s="25" t="n">
        <v>46569</v>
      </c>
      <c r="B63" s="26">
        <f>DATE(YEAR(A63),MONTH(A63),1)</f>
        <v/>
      </c>
      <c r="C63" s="27" t="inlineStr">
        <is>
          <t>Gastos de vida</t>
        </is>
      </c>
      <c r="D63" s="28" t="inlineStr">
        <is>
          <t>Gasto</t>
        </is>
      </c>
      <c r="E63" s="27" t="inlineStr"/>
      <c r="F63" s="29">
        <f>-Supuestos!B7</f>
        <v/>
      </c>
      <c r="G63" s="30">
        <f>G62+F63</f>
        <v/>
      </c>
    </row>
    <row r="64">
      <c r="A64" s="25" t="n">
        <v>46597</v>
      </c>
      <c r="B64" s="26">
        <f>DATE(YEAR(A64),MONTH(A64),1)</f>
        <v/>
      </c>
      <c r="C64" s="27" t="inlineStr">
        <is>
          <t>Nómina</t>
        </is>
      </c>
      <c r="D64" s="31" t="inlineStr">
        <is>
          <t>Ingreso</t>
        </is>
      </c>
      <c r="E64" s="27" t="inlineStr"/>
      <c r="F64" s="32" t="n">
        <v>3173.56</v>
      </c>
      <c r="G64" s="30">
        <f>G63+F64</f>
        <v/>
      </c>
    </row>
    <row r="65">
      <c r="A65" s="25" t="n">
        <v>46600</v>
      </c>
      <c r="B65" s="26">
        <f>DATE(YEAR(A65),MONTH(A65),1)</f>
        <v/>
      </c>
      <c r="C65" s="27" t="inlineStr">
        <is>
          <t>Santander (préstamo) · plan 500 €/mes</t>
        </is>
      </c>
      <c r="D65" s="33" t="inlineStr">
        <is>
          <t>Fijo</t>
        </is>
      </c>
      <c r="E65" s="27" t="inlineStr">
        <is>
          <t>Santander (préstamo)</t>
        </is>
      </c>
      <c r="F65" s="32" t="n">
        <v>-500</v>
      </c>
      <c r="G65" s="30">
        <f>G64+F65</f>
        <v/>
      </c>
    </row>
    <row r="66">
      <c r="A66" s="25" t="n">
        <v>46600</v>
      </c>
      <c r="B66" s="26">
        <f>DATE(YEAR(A66),MONTH(A66),1)</f>
        <v/>
      </c>
      <c r="C66" s="27" t="inlineStr">
        <is>
          <t>Gastos de vida</t>
        </is>
      </c>
      <c r="D66" s="28" t="inlineStr">
        <is>
          <t>Gasto</t>
        </is>
      </c>
      <c r="E66" s="27" t="inlineStr"/>
      <c r="F66" s="29">
        <f>-Supuestos!B7</f>
        <v/>
      </c>
      <c r="G66" s="30">
        <f>G65+F66</f>
        <v/>
      </c>
    </row>
    <row r="67">
      <c r="A67" s="25" t="n">
        <v>46628</v>
      </c>
      <c r="B67" s="26">
        <f>DATE(YEAR(A67),MONTH(A67),1)</f>
        <v/>
      </c>
      <c r="C67" s="27" t="inlineStr">
        <is>
          <t>Nómina</t>
        </is>
      </c>
      <c r="D67" s="31" t="inlineStr">
        <is>
          <t>Ingreso</t>
        </is>
      </c>
      <c r="E67" s="27" t="inlineStr"/>
      <c r="F67" s="32" t="n">
        <v>2280.25</v>
      </c>
      <c r="G67" s="30">
        <f>G66+F67</f>
        <v/>
      </c>
    </row>
    <row r="68">
      <c r="A68" s="25" t="n">
        <v>46631</v>
      </c>
      <c r="B68" s="26">
        <f>DATE(YEAR(A68),MONTH(A68),1)</f>
        <v/>
      </c>
      <c r="C68" s="27" t="inlineStr">
        <is>
          <t>Santander (préstamo) · plan 500 €/mes</t>
        </is>
      </c>
      <c r="D68" s="33" t="inlineStr">
        <is>
          <t>Fijo</t>
        </is>
      </c>
      <c r="E68" s="27" t="inlineStr">
        <is>
          <t>Santander (préstamo)</t>
        </is>
      </c>
      <c r="F68" s="32" t="n">
        <v>-447.85</v>
      </c>
      <c r="G68" s="30">
        <f>G67+F68</f>
        <v/>
      </c>
    </row>
    <row r="69">
      <c r="A69" s="25" t="n">
        <v>46631</v>
      </c>
      <c r="B69" s="26">
        <f>DATE(YEAR(A69),MONTH(A69),1)</f>
        <v/>
      </c>
      <c r="C69" s="27" t="inlineStr">
        <is>
          <t>Gastos de vida</t>
        </is>
      </c>
      <c r="D69" s="28" t="inlineStr">
        <is>
          <t>Gasto</t>
        </is>
      </c>
      <c r="E69" s="27" t="inlineStr"/>
      <c r="F69" s="29">
        <f>-Supuestos!B7</f>
        <v/>
      </c>
      <c r="G69" s="30">
        <f>G68+F69</f>
        <v/>
      </c>
    </row>
    <row r="70">
      <c r="A70" s="25" t="n">
        <v>46659</v>
      </c>
      <c r="B70" s="26">
        <f>DATE(YEAR(A70),MONTH(A70),1)</f>
        <v/>
      </c>
      <c r="C70" s="27" t="inlineStr">
        <is>
          <t>Nómina</t>
        </is>
      </c>
      <c r="D70" s="31" t="inlineStr">
        <is>
          <t>Ingreso</t>
        </is>
      </c>
      <c r="E70" s="27" t="inlineStr"/>
      <c r="F70" s="32" t="n">
        <v>3173.56</v>
      </c>
      <c r="G70" s="30">
        <f>G69+F70</f>
        <v/>
      </c>
    </row>
    <row r="71">
      <c r="A71" s="25" t="n">
        <v>46661</v>
      </c>
      <c r="B71" s="26">
        <f>DATE(YEAR(A71),MONTH(A71),1)</f>
        <v/>
      </c>
      <c r="C71" s="27" t="inlineStr">
        <is>
          <t>Gastos de vida</t>
        </is>
      </c>
      <c r="D71" s="28" t="inlineStr">
        <is>
          <t>Gasto</t>
        </is>
      </c>
      <c r="E71" s="27" t="inlineStr"/>
      <c r="F71" s="29">
        <f>-Supuestos!B7</f>
        <v/>
      </c>
      <c r="G71" s="30">
        <f>G70+F71</f>
        <v/>
      </c>
    </row>
    <row r="72">
      <c r="A72" s="25" t="n">
        <v>46689</v>
      </c>
      <c r="B72" s="26">
        <f>DATE(YEAR(A72),MONTH(A72),1)</f>
        <v/>
      </c>
      <c r="C72" s="27" t="inlineStr">
        <is>
          <t>Nómina</t>
        </is>
      </c>
      <c r="D72" s="31" t="inlineStr">
        <is>
          <t>Ingreso</t>
        </is>
      </c>
      <c r="E72" s="27" t="inlineStr"/>
      <c r="F72" s="32" t="n">
        <v>2490.44</v>
      </c>
      <c r="G72" s="30">
        <f>G71+F72</f>
        <v/>
      </c>
    </row>
  </sheetData>
  <autoFilter ref="A1:G72"/>
  <conditionalFormatting sqref="G2:G72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0" customWidth="1" min="3" max="3"/>
  </cols>
  <sheetData>
    <row r="1">
      <c r="A1" s="38" t="inlineStr">
        <is>
          <t>Plan de pagos de deudas</t>
        </is>
      </c>
    </row>
    <row r="2">
      <c r="A2" s="39" t="inlineStr">
        <is>
          <t>Las celdas amarillas con texto azul son datos editables: el resto del libro se recalcula.</t>
        </is>
      </c>
    </row>
    <row r="4">
      <c r="A4" s="9" t="inlineStr">
        <is>
          <t>Fecha de partida</t>
        </is>
      </c>
      <c r="B4" s="40" t="n">
        <v>46312</v>
      </c>
      <c r="C4" s="13" t="inlineStr">
        <is>
          <t>Último saldo comunicado</t>
        </is>
      </c>
    </row>
    <row r="5">
      <c r="A5" s="9" t="inlineStr">
        <is>
          <t>Saldo inicial (€)</t>
        </is>
      </c>
      <c r="B5" s="41" t="n">
        <v>600</v>
      </c>
      <c r="C5" s="13" t="inlineStr">
        <is>
          <t>Saldo en cuenta el 17 oct 2026, según el usuario</t>
        </is>
      </c>
    </row>
    <row r="6">
      <c r="A6" s="9" t="inlineStr">
        <is>
          <t>Gastos de vida hasta el 29 oct (€)</t>
        </is>
      </c>
      <c r="B6" s="41" t="n">
        <v>300</v>
      </c>
      <c r="C6" s="13" t="inlineStr">
        <is>
          <t>Estimación. Con más de ~350 € el 1 dic queda en negativo (salvo que aplaces los aplazables ese mes)</t>
        </is>
      </c>
    </row>
    <row r="7">
      <c r="A7" s="9" t="inlineStr">
        <is>
          <t>Gastos de vida mensuales desde nov (€)</t>
        </is>
      </c>
      <c r="B7" s="41" t="n">
        <v>700</v>
      </c>
      <c r="C7" s="13" t="inlineStr">
        <is>
          <t>Indicado por el usuario</t>
        </is>
      </c>
    </row>
    <row r="8">
      <c r="A8" s="9" t="inlineStr">
        <is>
          <t>Pago mensual al bloque Santander desde mar 2027 (€)</t>
        </is>
      </c>
      <c r="B8" s="41" t="n">
        <v>500</v>
      </c>
      <c r="C8" s="13" t="inlineStr">
        <is>
          <t>Indicado por el usuario (fijo en el calendario)</t>
        </is>
      </c>
    </row>
    <row r="10">
      <c r="A10" s="13" t="inlineStr">
        <is>
          <t>Nóminas, pagas extra y variable: netas, según la previsión del desplazamiento (octubre: 3.100 €, confirmado por el usuario).</t>
        </is>
      </c>
    </row>
    <row r="11">
      <c r="A11" s="13" t="inlineStr">
        <is>
          <t>Deudas sin intereses salvo Moneyman (recibes 1.100 €, devuelves 1.400 €).</t>
        </is>
      </c>
    </row>
    <row r="12">
      <c r="A12" s="13" t="inlineStr">
        <is>
          <t>Aplazables (se pagan y se vuelven a pedir sin intereses): Pagolisto 1 y 2, Crédito Santander 1 y 2. No aplazables: Santander (préstamo), Moneyman, Vivus y Smartcredito.</t>
        </is>
      </c>
    </row>
    <row r="13">
      <c r="A13" s="13" t="inlineStr">
        <is>
          <t>Escenario: nómina de octubre de 3.100 €, Smartcredito el 14 nov, sin préstamos puente ni volver a pedir Moneyman. Ama el 29 nov, Vivus liquidado el 29 nov.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2026-10-17T11:19:45Z</dcterms:created>
  <dcterms:modified xsi:type="dcterms:W3CDTF">2026-10-17T11:19:45Z</dcterms:modified>
</cp:coreProperties>
</file>